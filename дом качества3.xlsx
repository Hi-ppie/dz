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sha\Desktop\"/>
    </mc:Choice>
  </mc:AlternateContent>
  <xr:revisionPtr revIDLastSave="0" documentId="8_{28F2077C-2B41-473C-8515-CC61B9DD595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Инструкция" sheetId="1" r:id="rId1"/>
    <sheet name="Дом качества (Магистральные)" sheetId="2" r:id="rId2"/>
    <sheet name="Сравнение реальных моделей" sheetId="4" r:id="rId3"/>
  </sheets>
  <externalReferences>
    <externalReference r:id="rId4"/>
  </externalReferences>
  <definedNames>
    <definedName name="Correlation_Options">'[1]Data Validation Sources'!$C$2:$C$6</definedName>
    <definedName name="_xlnm.Print_Area" localSheetId="1">'Дом качества (Магистральные)'!$A$1:$N$33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2" l="1"/>
  <c r="H24" i="2" l="1"/>
  <c r="G24" i="2"/>
  <c r="F24" i="2"/>
  <c r="E24" i="2"/>
  <c r="H21" i="2"/>
  <c r="G21" i="2"/>
  <c r="F21" i="2"/>
  <c r="E21" i="2"/>
  <c r="D21" i="2"/>
  <c r="E23" i="2" s="1"/>
  <c r="F22" i="2" l="1"/>
  <c r="D23" i="2"/>
  <c r="G23" i="2"/>
  <c r="H23" i="2"/>
  <c r="I21" i="2"/>
  <c r="E22" i="2" s="1"/>
  <c r="F23" i="2"/>
  <c r="D22" i="2" l="1"/>
  <c r="G22" i="2"/>
  <c r="H22" i="2"/>
  <c r="I22" i="2" l="1"/>
</calcChain>
</file>

<file path=xl/sharedStrings.xml><?xml version="1.0" encoding="utf-8"?>
<sst xmlns="http://schemas.openxmlformats.org/spreadsheetml/2006/main" count="124" uniqueCount="120">
  <si>
    <t>Дом качества</t>
  </si>
  <si>
    <t>Название проекта:</t>
  </si>
  <si>
    <t>Беспилотный магистральный тягач (КАМАЗ-54901 «Маяк-2»)</t>
  </si>
  <si>
    <t>Корелляция:</t>
  </si>
  <si>
    <t>Рук.проекта:</t>
  </si>
  <si>
    <t>Золотухин А.С.</t>
  </si>
  <si>
    <t>+</t>
  </si>
  <si>
    <t>.</t>
  </si>
  <si>
    <t>-</t>
  </si>
  <si>
    <t>Дата:</t>
  </si>
  <si>
    <t>30.09.2026</t>
  </si>
  <si>
    <t>Положительно</t>
  </si>
  <si>
    <t>Нет зависимости</t>
  </si>
  <si>
    <t>Отрицательно</t>
  </si>
  <si>
    <t>Этап (КТ)</t>
  </si>
  <si>
    <t>Модернизация (SAE Level 4)</t>
  </si>
  <si>
    <t>Соотношение:</t>
  </si>
  <si>
    <t>Направления улучшений (↑,0,↓)</t>
  </si>
  <si>
    <t>↑</t>
  </si>
  <si>
    <t>↓</t>
  </si>
  <si>
    <t>Сильно</t>
  </si>
  <si>
    <t>Средне</t>
  </si>
  <si>
    <t>Слабо</t>
  </si>
  <si>
    <t>Отсутствует</t>
  </si>
  <si>
    <t>Мин.: 1,
Макс.: 5</t>
  </si>
  <si>
    <t>3. Функциональные требования
→</t>
  </si>
  <si>
    <t>Дальность обнаружения препятствий (лидар/радар), м</t>
  </si>
  <si>
    <t>Производительность бортового ИИ-вычислителя, TOPS</t>
  </si>
  <si>
    <t>Емкость топливных баков / тяговой АКБ, л (кВт·ч)</t>
  </si>
  <si>
    <t>Снаряженная масса шасси тягача, т</t>
  </si>
  <si>
    <t>Время отклика канала телеметрии 5G/V2X, мс</t>
  </si>
  <si>
    <t>Оценка: Слабо: 1, Сильно: 5</t>
  </si>
  <si>
    <t>2. Важность для
потребителя</t>
  </si>
  <si>
    <t>1. Требования потребителя
↓</t>
  </si>
  <si>
    <t>Коеф конкурентоспособности ИО</t>
  </si>
  <si>
    <t>КАМАЗ-54901 «Маяк-2» (ИО)</t>
  </si>
  <si>
    <t>Volvo VNL Autonomous (Aurora)</t>
  </si>
  <si>
    <t>Freightliner Cascadia (Torc)</t>
  </si>
  <si>
    <t>Navio L4 (СберАвтоТех)</t>
  </si>
  <si>
    <t>Безопасность движения и предотвращение ДТП</t>
  </si>
  <si>
    <t>Лидар 250 м, дубл. EBS/ЭУР (4)</t>
  </si>
  <si>
    <t>FMCW &gt;400 м, 2x резерв (5)</t>
  </si>
  <si>
    <t>4D лидар &gt;350 м, резерв (5)</t>
  </si>
  <si>
    <t>Обзор 360°, дубл. приводов (4)</t>
  </si>
  <si>
    <t>Большой запас хода без подзарядки/дозаправки</t>
  </si>
  <si>
    <t>680 км автопилот М-11 (3)</t>
  </si>
  <si>
    <t>1000+ км (Dallas-Houston) (5)</t>
  </si>
  <si>
    <t>850 км (I-40 США) (4)</t>
  </si>
  <si>
    <t>680 км (трасса М-11) (3)</t>
  </si>
  <si>
    <t>Высокая грузоподъемность</t>
  </si>
  <si>
    <t>20 т (полная 44 т) (4)</t>
  </si>
  <si>
    <t>22 т (80 000 lbs) (5)</t>
  </si>
  <si>
    <t>20 т (80 000 lbs) (4)</t>
  </si>
  <si>
    <t>20 т (автопоезд) (4)</t>
  </si>
  <si>
    <t>Всепогодность работы автопилота (туман, снег, ночь)</t>
  </si>
  <si>
    <t>Радар + ИК, огр. в метель (3)</t>
  </si>
  <si>
    <t>FMCW 1550 нм сквозь туман (5)</t>
  </si>
  <si>
    <t>4D FMCW Aeva Atlas (5)</t>
  </si>
  <si>
    <t>Зимний режим М-11 (4)</t>
  </si>
  <si>
    <t>Низкий расход энергии / топлива</t>
  </si>
  <si>
    <t>29 л/100 км (3)</t>
  </si>
  <si>
    <t>25 л/100 км (I-Torque) (5)</t>
  </si>
  <si>
    <t>26 л/100 км (Detroit) (4)</t>
  </si>
  <si>
    <t>27,5 л/100 км (ИИ-эко) (4)</t>
  </si>
  <si>
    <t>Точность удержания в полосе и маневрирования</t>
  </si>
  <si>
    <t>±5 см (RTK GNSS + ИНС) (4)</t>
  </si>
  <si>
    <t>±3 см (Aurora HD-Map) (5)</t>
  </si>
  <si>
    <t>±4 см (Torc Localization) (4)</t>
  </si>
  <si>
    <t>±4 см (HD-карты ЦКАД/М-11) (4)</t>
  </si>
  <si>
    <t>Надежная связь с диспетчерским центром и V2X</t>
  </si>
  <si>
    <t>4G/LTE + УКВ, 45 мс (2)</t>
  </si>
  <si>
    <t>5G + спутник, 15 мс (5)</t>
  </si>
  <si>
    <t>5G C-V2X, 20 мс (4)</t>
  </si>
  <si>
    <t>V2X «Умная дорога» М-11 (3)</t>
  </si>
  <si>
    <t>Доступная стоимость автомобиля</t>
  </si>
  <si>
    <t>~16,5 млн руб. (3)</t>
  </si>
  <si>
    <t>~28 млн руб. ($300k) (2)</t>
  </si>
  <si>
    <t>~26 млн руб. ($280k) (2)</t>
  </si>
  <si>
    <t>~14,5 млн руб. (5)</t>
  </si>
  <si>
    <t>Быстрая диагностика и простота ТО</t>
  </si>
  <si>
    <t>Стендовая калибровка 40 мин (2)</t>
  </si>
  <si>
    <t>Автокалибровка в пути (5)</t>
  </si>
  <si>
    <t>Автокалибровка + OTA (4)</t>
  </si>
  <si>
    <t>Полуавтомат. 20 мин (3)</t>
  </si>
  <si>
    <t>Техническая важность (расчет)</t>
  </si>
  <si>
    <t>Важность, %</t>
  </si>
  <si>
    <t>Приоритетность (топ n)</t>
  </si>
  <si>
    <t>Сумма соотношений при Ki&lt;0,7</t>
  </si>
  <si>
    <t>Приоритет для улучшения</t>
  </si>
  <si>
    <t>Comments/Conclusion:</t>
  </si>
  <si>
    <t>Вывод: При сравнении КАМАЗ-54901 «Маяк-2» с реальными конкурентами (Volvo VNL Autonomous / Aurora, Freightliner Cascadia / Torc и Navio L4) выявлено отставание (Ki &lt; 0,7) по всепогодности сенсоров, дальности беспилотного плеча, расходу топлива и задержке телеметрии V2X. Приоритет доработки №1 — производительность бортового ИИ (22 балла), №2 — топливная/энергетическая емкость (22 балла), №3 — снижение снаряженной массы шасси (21 балл).</t>
  </si>
  <si>
    <t>Сравнительный анализ реальных беспилотных грузовых автомобилей (исходные данные для Дома качества)</t>
  </si>
  <si>
    <t>Модель беспилотного грузовика</t>
  </si>
  <si>
    <t>Разработчик / Страна</t>
  </si>
  <si>
    <t>Класс и назначение</t>
  </si>
  <si>
    <t>Уровень SAE / Сенсорика</t>
  </si>
  <si>
    <t>Дальность лидара / радара, м</t>
  </si>
  <si>
    <t>Запас хода, км</t>
  </si>
  <si>
    <t>Грузоподъемность, т</t>
  </si>
  <si>
    <t>Тип силовой установки и емкость</t>
  </si>
  <si>
    <t>Средняя оценка конкурентосп. (1..5)</t>
  </si>
  <si>
    <t>КАМАЗ-54901 «Маяк-2»</t>
  </si>
  <si>
    <t>ПАО «КАМАЗ» (Россия)</t>
  </si>
  <si>
    <t>Магистральный тягач (М-11, М-12)</t>
  </si>
  <si>
    <t>SAE L3+/L4, 3D-лидары, радары, ИК-камеры</t>
  </si>
  <si>
    <t>Дизель Р6 450 л.с. (бак до 1400 л)</t>
  </si>
  <si>
    <t>Volvo VNL Autonomous</t>
  </si>
  <si>
    <t>Volvo Autonomous + Aurora (Швеция/США)</t>
  </si>
  <si>
    <t>Магистральный тягач (Hub-to-Hub)</t>
  </si>
  <si>
    <t>SAE L4 Aurora Driver, FMCW лидар FirstLight</t>
  </si>
  <si>
    <t>Дизель D13 500 л.с., 2x резервирование</t>
  </si>
  <si>
    <t>Freightliner Cascadia L4</t>
  </si>
  <si>
    <t>Daimler Truck + Torc Robotics (США/ФРГ)</t>
  </si>
  <si>
    <t>Магистральный тягач (шоссе)</t>
  </si>
  <si>
    <t>SAE L4 Torc, 4D FMCW лидар Aeva Atlas</t>
  </si>
  <si>
    <t>Дизель Detroit DD15 / eCascadia АКБ</t>
  </si>
  <si>
    <t>Navio / СберАвтоТех (Россия)</t>
  </si>
  <si>
    <t>Магистральный тягач (трасса М-11)</t>
  </si>
  <si>
    <t>SAE L4, обзор 360° (лидары, радары, камеры)</t>
  </si>
  <si>
    <t>Дизель магистральный, ИИ-экорежим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</si>
</sst>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21" x14ac:knownFonts="1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color indexed="55"/>
      <name val="Calibri"/>
      <family val="2"/>
      <scheme val="minor"/>
    </font>
    <font>
      <sz val="2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9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sz val="9"/>
      <color rgb="FF595959"/>
      <name val="Calibri"/>
      <family val="2"/>
      <charset val="204"/>
    </font>
    <font>
      <b/>
      <sz val="14"/>
      <color rgb="FF1F4E78"/>
      <name val="Calibri"/>
      <family val="2"/>
      <charset val="204"/>
    </font>
    <font>
      <b/>
      <sz val="10"/>
      <color rgb="FFFFFFFF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</patternFill>
    </fill>
    <fill>
      <patternFill patternType="solid">
        <fgColor rgb="FFEAEAEA"/>
      </patternFill>
    </fill>
    <fill>
      <patternFill patternType="solid">
        <fgColor rgb="FFFFFF99"/>
      </patternFill>
    </fill>
    <fill>
      <patternFill patternType="solid">
        <fgColor rgb="FF1F4E78"/>
      </patternFill>
    </fill>
    <fill>
      <patternFill patternType="solid">
        <fgColor rgb="FFF2F4F8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13" xfId="0" applyFont="1" applyFill="1" applyBorder="1" applyAlignment="1">
      <alignment horizontal="center" vertical="center"/>
    </xf>
    <xf numFmtId="0" fontId="1" fillId="3" borderId="0" xfId="0" applyFont="1" applyFill="1"/>
    <xf numFmtId="0" fontId="8" fillId="3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center"/>
    </xf>
    <xf numFmtId="9" fontId="6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4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8" fillId="3" borderId="0" xfId="0" applyFont="1" applyFill="1"/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2" fillId="3" borderId="4" xfId="0" applyFont="1" applyFill="1" applyBorder="1" applyAlignment="1">
      <alignment vertical="center"/>
    </xf>
    <xf numFmtId="0" fontId="9" fillId="3" borderId="0" xfId="0" applyFont="1" applyFill="1" applyAlignment="1">
      <alignment horizontal="left"/>
    </xf>
    <xf numFmtId="0" fontId="11" fillId="3" borderId="0" xfId="0" applyFont="1" applyFill="1" applyAlignment="1">
      <alignment horizontal="right"/>
    </xf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/>
    <xf numFmtId="0" fontId="5" fillId="6" borderId="7" xfId="0" applyFont="1" applyFill="1" applyBorder="1" applyAlignment="1">
      <alignment horizontal="right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right" vertical="center"/>
    </xf>
    <xf numFmtId="0" fontId="2" fillId="6" borderId="7" xfId="0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0" fillId="3" borderId="0" xfId="0" applyFont="1" applyFill="1" applyAlignment="1">
      <alignment horizontal="left" vertical="center"/>
    </xf>
    <xf numFmtId="0" fontId="13" fillId="3" borderId="13" xfId="0" quotePrefix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3" borderId="13" xfId="0" quotePrefix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wrapText="1"/>
    </xf>
    <xf numFmtId="0" fontId="5" fillId="6" borderId="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14" fillId="2" borderId="10" xfId="0" applyFont="1" applyFill="1" applyBorder="1" applyAlignment="1" applyProtection="1">
      <alignment horizontal="center" vertical="center" wrapText="1"/>
      <protection locked="0"/>
    </xf>
    <xf numFmtId="0" fontId="14" fillId="6" borderId="2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 applyProtection="1">
      <alignment horizontal="center" vertical="center" wrapText="1"/>
      <protection locked="0"/>
    </xf>
    <xf numFmtId="0" fontId="15" fillId="4" borderId="8" xfId="0" applyFont="1" applyFill="1" applyBorder="1" applyAlignment="1" applyProtection="1">
      <alignment horizontal="left" vertical="center" wrapText="1"/>
      <protection locked="0"/>
    </xf>
    <xf numFmtId="0" fontId="15" fillId="7" borderId="7" xfId="0" applyFont="1" applyFill="1" applyBorder="1" applyAlignment="1" applyProtection="1">
      <alignment horizontal="center" vertical="center" wrapText="1"/>
      <protection locked="0"/>
    </xf>
    <xf numFmtId="164" fontId="16" fillId="8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9" xfId="0" applyFont="1" applyFill="1" applyBorder="1" applyAlignment="1" applyProtection="1">
      <alignment horizontal="center" vertical="center" wrapText="1"/>
      <protection locked="0"/>
    </xf>
    <xf numFmtId="0" fontId="15" fillId="4" borderId="7" xfId="0" applyFont="1" applyFill="1" applyBorder="1" applyAlignment="1" applyProtection="1">
      <alignment horizontal="left" vertical="center" wrapText="1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164" fontId="16" fillId="9" borderId="3" xfId="0" applyNumberFormat="1" applyFont="1" applyFill="1" applyBorder="1" applyAlignment="1">
      <alignment horizontal="center" vertical="center" wrapText="1"/>
    </xf>
    <xf numFmtId="0" fontId="15" fillId="2" borderId="11" xfId="0" applyFont="1" applyFill="1" applyBorder="1" applyAlignment="1" applyProtection="1">
      <alignment horizontal="center" vertical="center" wrapText="1"/>
      <protection locked="0"/>
    </xf>
    <xf numFmtId="0" fontId="15" fillId="6" borderId="9" xfId="0" applyFont="1" applyFill="1" applyBorder="1" applyAlignment="1">
      <alignment horizontal="center" vertical="center" wrapText="1"/>
    </xf>
    <xf numFmtId="9" fontId="15" fillId="6" borderId="7" xfId="0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 applyProtection="1">
      <alignment horizontal="center" vertical="center" wrapText="1"/>
      <protection locked="0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18" fillId="10" borderId="14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left" vertical="center" wrapText="1"/>
    </xf>
    <xf numFmtId="0" fontId="20" fillId="7" borderId="14" xfId="0" applyFont="1" applyFill="1" applyBorder="1" applyAlignment="1">
      <alignment horizontal="left" vertical="center" wrapText="1"/>
    </xf>
    <xf numFmtId="0" fontId="20" fillId="7" borderId="14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left" vertical="center" wrapText="1"/>
    </xf>
    <xf numFmtId="0" fontId="20" fillId="11" borderId="14" xfId="0" applyFont="1" applyFill="1" applyBorder="1" applyAlignment="1">
      <alignment horizontal="left" vertical="center" wrapText="1"/>
    </xf>
    <xf numFmtId="0" fontId="20" fillId="11" borderId="14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0" fillId="0" borderId="1" xfId="0" applyBorder="1"/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0" xfId="0"/>
    <xf numFmtId="0" fontId="9" fillId="3" borderId="5" xfId="0" applyFont="1" applyFill="1" applyBorder="1" applyAlignment="1">
      <alignment horizontal="center"/>
    </xf>
    <xf numFmtId="0" fontId="0" fillId="0" borderId="5" xfId="0" applyBorder="1"/>
    <xf numFmtId="0" fontId="17" fillId="0" borderId="0" xfId="0" applyFont="1"/>
    <xf numFmtId="0" fontId="15" fillId="3" borderId="0" xfId="0" applyFont="1" applyFill="1" applyBorder="1" applyAlignment="1" applyProtection="1">
      <alignment horizontal="left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Сравнение дальности сенсоров (м) и запаса хода (км) реальных моделей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'Сравнение реальных моделей'!$E$3</c:f>
              <c:strCache>
                <c:ptCount val="1"/>
                <c:pt idx="0">
                  <c:v>Дальность лидара / радара, м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'Сравнение реальных моделей'!$A$4:$A$7</c:f>
              <c:strCache>
                <c:ptCount val="4"/>
                <c:pt idx="0">
                  <c:v>КАМАЗ-54901 «Маяк-2»</c:v>
                </c:pt>
                <c:pt idx="1">
                  <c:v>Volvo VNL Autonomous</c:v>
                </c:pt>
                <c:pt idx="2">
                  <c:v>Freightliner Cascadia L4</c:v>
                </c:pt>
                <c:pt idx="3">
                  <c:v>Navio L4 (СберАвтоТех)</c:v>
                </c:pt>
              </c:strCache>
            </c:strRef>
          </c:cat>
          <c:val>
            <c:numRef>
              <c:f>'Сравнение реальных моделей'!$E$4:$E$7</c:f>
              <c:numCache>
                <c:formatCode>General</c:formatCode>
                <c:ptCount val="4"/>
                <c:pt idx="0">
                  <c:v>250</c:v>
                </c:pt>
                <c:pt idx="1">
                  <c:v>400</c:v>
                </c:pt>
                <c:pt idx="2">
                  <c:v>350</c:v>
                </c:pt>
                <c:pt idx="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4-4B2F-8D7E-BC790395876C}"/>
            </c:ext>
          </c:extLst>
        </c:ser>
        <c:ser>
          <c:idx val="1"/>
          <c:order val="1"/>
          <c:tx>
            <c:strRef>
              <c:f>'Сравнение реальных моделей'!$F$3</c:f>
              <c:strCache>
                <c:ptCount val="1"/>
                <c:pt idx="0">
                  <c:v>Запас хода, км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'Сравнение реальных моделей'!$A$4:$A$7</c:f>
              <c:strCache>
                <c:ptCount val="4"/>
                <c:pt idx="0">
                  <c:v>КАМАЗ-54901 «Маяк-2»</c:v>
                </c:pt>
                <c:pt idx="1">
                  <c:v>Volvo VNL Autonomous</c:v>
                </c:pt>
                <c:pt idx="2">
                  <c:v>Freightliner Cascadia L4</c:v>
                </c:pt>
                <c:pt idx="3">
                  <c:v>Navio L4 (СберАвтоТех)</c:v>
                </c:pt>
              </c:strCache>
            </c:strRef>
          </c:cat>
          <c:val>
            <c:numRef>
              <c:f>'Сравнение реальных моделей'!$F$4:$F$7</c:f>
              <c:numCache>
                <c:formatCode>General</c:formatCode>
                <c:ptCount val="4"/>
                <c:pt idx="0">
                  <c:v>680</c:v>
                </c:pt>
                <c:pt idx="1">
                  <c:v>1000</c:v>
                </c:pt>
                <c:pt idx="2">
                  <c:v>850</c:v>
                </c:pt>
                <c:pt idx="3">
                  <c:v>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4-4B2F-8D7E-BC790395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Модель беспилотного грузовика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 показателя (м / км)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13</xdr:col>
          <xdr:colOff>476250</xdr:colOff>
          <xdr:row>171</xdr:row>
          <xdr:rowOff>85725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8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048000" y="333375"/>
          <a:ext cx="4802188" cy="1333500"/>
          <a:chOff x="364" y="70"/>
          <a:chExt cx="376" cy="134"/>
        </a:xfrm>
      </xdr:grpSpPr>
      <xdr:sp macro="" textlink="">
        <xdr:nvSpPr>
          <xdr:cNvPr id="3" name="AutoShape 3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64" y="70"/>
            <a:ext cx="376" cy="134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</xdr:sp>
      <xdr:sp macro="" textlink="">
        <xdr:nvSpPr>
          <xdr:cNvPr id="4" name="Rectangle 3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422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5" name="Rectangle 3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5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6" name="Rectangle 3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7" name="Rectangle 3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115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8" name="Rectangle 3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534" y="141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9" name="Rectangle 3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71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</a:t>
            </a:r>
          </a:p>
        </xdr:txBody>
      </xdr:sp>
      <xdr:sp macro="" textlink="">
        <xdr:nvSpPr>
          <xdr:cNvPr id="10" name="Rectangle 3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34" y="8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11" name="Rectangle 4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71" y="114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+</a:t>
            </a:r>
          </a:p>
        </xdr:txBody>
      </xdr:sp>
      <xdr:sp macro="" textlink="">
        <xdr:nvSpPr>
          <xdr:cNvPr id="12" name="Rectangle 4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60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3" name="Rectangle 4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64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7</xdr:row>
      <xdr:rowOff>171450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saadeddin\Desktop\QFD\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1.vsd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workbookViewId="0">
      <selection activeCell="R12" sqref="R12"/>
    </sheetView>
  </sheetViews>
  <sheetFormatPr defaultRowHeight="12.75" x14ac:dyDescent="0.2"/>
  <sheetData/>
  <pageMargins left="0.7" right="0.7" top="0.75" bottom="0.75" header="0.3" footer="0.3"/>
  <pageSetup paperSize="9" scale="69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3073" r:id="rId4">
          <objectPr defaultSize="0" r:id="rId5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13</xdr:col>
                <xdr:colOff>476250</xdr:colOff>
                <xdr:row>171</xdr:row>
                <xdr:rowOff>85725</xdr:rowOff>
              </to>
            </anchor>
          </objectPr>
        </oleObject>
      </mc:Choice>
      <mc:Fallback>
        <oleObject progId="Visio.Drawing.15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"/>
  <sheetViews>
    <sheetView showGridLines="0" tabSelected="1" zoomScale="120" zoomScaleNormal="130" workbookViewId="0">
      <selection activeCell="K27" sqref="K27"/>
    </sheetView>
  </sheetViews>
  <sheetFormatPr defaultColWidth="8.85546875" defaultRowHeight="12.75" x14ac:dyDescent="0.2"/>
  <cols>
    <col min="1" max="1" width="2.7109375" style="7" customWidth="1"/>
    <col min="2" max="2" width="12.28515625" style="7" customWidth="1"/>
    <col min="3" max="3" width="30.7109375" style="7" customWidth="1"/>
    <col min="4" max="4" width="14.42578125" style="7" customWidth="1"/>
    <col min="5" max="8" width="14.42578125" customWidth="1"/>
    <col min="9" max="9" width="13" customWidth="1"/>
    <col min="10" max="10" width="18" style="7" customWidth="1"/>
    <col min="11" max="13" width="18" customWidth="1"/>
    <col min="14" max="14" width="2.7109375" style="7" customWidth="1"/>
    <col min="15" max="15" width="8.85546875" style="7" customWidth="1"/>
    <col min="16" max="16384" width="8.85546875" style="7"/>
  </cols>
  <sheetData>
    <row r="1" spans="1:13" ht="26.25" customHeight="1" x14ac:dyDescent="0.4">
      <c r="B1" s="21" t="s">
        <v>0</v>
      </c>
      <c r="E1" s="8"/>
      <c r="F1" s="8"/>
      <c r="G1" s="8"/>
      <c r="H1" s="8"/>
      <c r="I1" s="8"/>
      <c r="K1" s="8"/>
      <c r="L1" s="8"/>
      <c r="M1" s="8"/>
    </row>
    <row r="2" spans="1:13" ht="15" customHeight="1" x14ac:dyDescent="0.2">
      <c r="B2" s="35"/>
      <c r="E2" s="8"/>
      <c r="F2" s="8"/>
      <c r="G2" s="8"/>
      <c r="H2" s="8"/>
      <c r="I2" s="8"/>
      <c r="K2" s="9"/>
      <c r="L2" s="10"/>
      <c r="M2" s="8"/>
    </row>
    <row r="3" spans="1:13" ht="15" customHeight="1" x14ac:dyDescent="0.2">
      <c r="B3" s="35" t="s">
        <v>1</v>
      </c>
      <c r="C3" s="30" t="s">
        <v>2</v>
      </c>
      <c r="D3" s="35"/>
      <c r="E3" s="8"/>
      <c r="F3" s="15"/>
      <c r="G3" s="35"/>
      <c r="H3" s="8"/>
      <c r="I3" s="8"/>
      <c r="J3" s="31" t="s">
        <v>3</v>
      </c>
      <c r="K3" s="11"/>
      <c r="L3" s="12"/>
      <c r="M3" s="8"/>
    </row>
    <row r="4" spans="1:13" ht="15" customHeight="1" x14ac:dyDescent="0.2">
      <c r="B4" s="35" t="s">
        <v>4</v>
      </c>
      <c r="C4" s="30" t="s">
        <v>5</v>
      </c>
      <c r="D4" s="35"/>
      <c r="E4" s="8"/>
      <c r="F4" s="15"/>
      <c r="G4" s="35"/>
      <c r="H4" s="8"/>
      <c r="I4" s="8"/>
      <c r="J4" s="32" t="s">
        <v>6</v>
      </c>
      <c r="K4" s="33" t="s">
        <v>7</v>
      </c>
      <c r="L4" s="32" t="s">
        <v>8</v>
      </c>
      <c r="M4" s="8"/>
    </row>
    <row r="5" spans="1:13" ht="15" customHeight="1" x14ac:dyDescent="0.2">
      <c r="B5" s="35" t="s">
        <v>9</v>
      </c>
      <c r="C5" s="30" t="s">
        <v>10</v>
      </c>
      <c r="D5" s="35"/>
      <c r="E5" s="8"/>
      <c r="F5" s="15"/>
      <c r="G5" s="35"/>
      <c r="H5" s="8"/>
      <c r="I5" s="8"/>
      <c r="J5" s="36" t="s">
        <v>11</v>
      </c>
      <c r="K5" s="1" t="s">
        <v>12</v>
      </c>
      <c r="L5" s="36" t="s">
        <v>13</v>
      </c>
      <c r="M5" s="8"/>
    </row>
    <row r="6" spans="1:13" ht="15" customHeight="1" x14ac:dyDescent="0.2">
      <c r="B6" s="35" t="s">
        <v>14</v>
      </c>
      <c r="C6" s="30" t="s">
        <v>15</v>
      </c>
      <c r="D6" s="35"/>
      <c r="E6" s="8"/>
      <c r="F6" s="15"/>
      <c r="G6" s="35"/>
      <c r="H6" s="8"/>
      <c r="I6" s="8"/>
      <c r="K6" s="11"/>
      <c r="L6" s="12"/>
      <c r="M6" s="8"/>
    </row>
    <row r="7" spans="1:13" ht="15" customHeight="1" x14ac:dyDescent="0.2">
      <c r="B7" s="35"/>
      <c r="C7" s="3"/>
      <c r="D7" s="35"/>
      <c r="E7" s="8"/>
      <c r="F7" s="15"/>
      <c r="G7" s="35"/>
      <c r="H7" s="8"/>
      <c r="I7" s="8"/>
      <c r="J7" s="37" t="s">
        <v>16</v>
      </c>
      <c r="K7" s="11"/>
      <c r="L7" s="12"/>
      <c r="M7" s="8"/>
    </row>
    <row r="8" spans="1:13" ht="15" customHeight="1" x14ac:dyDescent="0.2">
      <c r="B8" s="35"/>
      <c r="C8" s="8"/>
      <c r="D8" s="35"/>
      <c r="E8" s="8"/>
      <c r="F8" s="15"/>
      <c r="G8" s="35"/>
      <c r="H8" s="8"/>
      <c r="I8" s="8"/>
      <c r="J8" s="13">
        <v>9</v>
      </c>
      <c r="K8" s="13">
        <v>3</v>
      </c>
      <c r="L8" s="13">
        <v>1</v>
      </c>
      <c r="M8" s="13"/>
    </row>
    <row r="9" spans="1:13" ht="15" customHeight="1" x14ac:dyDescent="0.2">
      <c r="B9" s="35"/>
      <c r="C9" s="22" t="s">
        <v>17</v>
      </c>
      <c r="D9" s="40" t="s">
        <v>18</v>
      </c>
      <c r="E9" s="41" t="s">
        <v>18</v>
      </c>
      <c r="F9" s="41" t="s">
        <v>18</v>
      </c>
      <c r="G9" s="41" t="s">
        <v>19</v>
      </c>
      <c r="H9" s="41" t="s">
        <v>19</v>
      </c>
      <c r="I9" s="8"/>
      <c r="J9" s="14" t="s">
        <v>20</v>
      </c>
      <c r="K9" s="14" t="s">
        <v>21</v>
      </c>
      <c r="L9" s="14" t="s">
        <v>22</v>
      </c>
      <c r="M9" s="14" t="s">
        <v>23</v>
      </c>
    </row>
    <row r="10" spans="1:13" ht="27.95" customHeight="1" x14ac:dyDescent="0.2">
      <c r="B10" s="38" t="s">
        <v>24</v>
      </c>
      <c r="C10" s="29" t="s">
        <v>25</v>
      </c>
      <c r="D10" s="69" t="s">
        <v>26</v>
      </c>
      <c r="E10" s="69" t="s">
        <v>27</v>
      </c>
      <c r="F10" s="69" t="s">
        <v>28</v>
      </c>
      <c r="G10" s="69" t="s">
        <v>29</v>
      </c>
      <c r="H10" s="69" t="s">
        <v>30</v>
      </c>
      <c r="I10" s="7"/>
      <c r="J10" s="67" t="s">
        <v>31</v>
      </c>
      <c r="K10" s="68"/>
      <c r="L10" s="68"/>
      <c r="M10" s="68"/>
    </row>
    <row r="11" spans="1:13" ht="42" customHeight="1" x14ac:dyDescent="0.2">
      <c r="A11" s="15"/>
      <c r="B11" s="23" t="s">
        <v>32</v>
      </c>
      <c r="C11" s="28" t="s">
        <v>33</v>
      </c>
      <c r="D11" s="70"/>
      <c r="E11" s="70"/>
      <c r="F11" s="70"/>
      <c r="G11" s="70"/>
      <c r="H11" s="70"/>
      <c r="I11" s="39" t="s">
        <v>34</v>
      </c>
      <c r="J11" s="42" t="s">
        <v>35</v>
      </c>
      <c r="K11" s="43" t="s">
        <v>36</v>
      </c>
      <c r="L11" s="43" t="s">
        <v>37</v>
      </c>
      <c r="M11" s="43" t="s">
        <v>38</v>
      </c>
    </row>
    <row r="12" spans="1:13" ht="26.1" customHeight="1" x14ac:dyDescent="0.2">
      <c r="A12" s="34">
        <v>1</v>
      </c>
      <c r="B12" s="44">
        <v>5</v>
      </c>
      <c r="C12" s="45" t="s">
        <v>39</v>
      </c>
      <c r="D12" s="46">
        <v>9</v>
      </c>
      <c r="E12" s="46">
        <v>9</v>
      </c>
      <c r="F12" s="46"/>
      <c r="G12" s="46">
        <v>1</v>
      </c>
      <c r="H12" s="46">
        <v>3</v>
      </c>
      <c r="I12" s="47">
        <v>0.8</v>
      </c>
      <c r="J12" s="48" t="s">
        <v>40</v>
      </c>
      <c r="K12" s="49" t="s">
        <v>41</v>
      </c>
      <c r="L12" s="48" t="s">
        <v>42</v>
      </c>
      <c r="M12" s="49" t="s">
        <v>43</v>
      </c>
    </row>
    <row r="13" spans="1:13" ht="26.1" customHeight="1" x14ac:dyDescent="0.2">
      <c r="A13" s="34">
        <v>2</v>
      </c>
      <c r="B13" s="44">
        <v>5</v>
      </c>
      <c r="C13" s="50" t="s">
        <v>44</v>
      </c>
      <c r="D13" s="51"/>
      <c r="E13" s="51">
        <v>1</v>
      </c>
      <c r="F13" s="51">
        <v>9</v>
      </c>
      <c r="G13" s="51">
        <v>9</v>
      </c>
      <c r="H13" s="51"/>
      <c r="I13" s="52">
        <v>0.6</v>
      </c>
      <c r="J13" s="53" t="s">
        <v>45</v>
      </c>
      <c r="K13" s="44" t="s">
        <v>46</v>
      </c>
      <c r="L13" s="53" t="s">
        <v>47</v>
      </c>
      <c r="M13" s="44" t="s">
        <v>48</v>
      </c>
    </row>
    <row r="14" spans="1:13" ht="26.1" customHeight="1" x14ac:dyDescent="0.2">
      <c r="A14" s="34">
        <v>3</v>
      </c>
      <c r="B14" s="44">
        <v>4</v>
      </c>
      <c r="C14" s="50" t="s">
        <v>49</v>
      </c>
      <c r="D14" s="46"/>
      <c r="E14" s="46"/>
      <c r="F14" s="46">
        <v>3</v>
      </c>
      <c r="G14" s="46">
        <v>9</v>
      </c>
      <c r="H14" s="46"/>
      <c r="I14" s="47">
        <v>0.8</v>
      </c>
      <c r="J14" s="53" t="s">
        <v>50</v>
      </c>
      <c r="K14" s="44" t="s">
        <v>51</v>
      </c>
      <c r="L14" s="53" t="s">
        <v>52</v>
      </c>
      <c r="M14" s="44" t="s">
        <v>53</v>
      </c>
    </row>
    <row r="15" spans="1:13" ht="26.1" customHeight="1" x14ac:dyDescent="0.2">
      <c r="A15" s="34">
        <v>4</v>
      </c>
      <c r="B15" s="44">
        <v>5</v>
      </c>
      <c r="C15" s="50" t="s">
        <v>54</v>
      </c>
      <c r="D15" s="51">
        <v>9</v>
      </c>
      <c r="E15" s="51">
        <v>9</v>
      </c>
      <c r="F15" s="51"/>
      <c r="G15" s="51"/>
      <c r="H15" s="51">
        <v>3</v>
      </c>
      <c r="I15" s="52">
        <v>0.6</v>
      </c>
      <c r="J15" s="53" t="s">
        <v>55</v>
      </c>
      <c r="K15" s="44" t="s">
        <v>56</v>
      </c>
      <c r="L15" s="53" t="s">
        <v>57</v>
      </c>
      <c r="M15" s="44" t="s">
        <v>58</v>
      </c>
    </row>
    <row r="16" spans="1:13" ht="26.1" customHeight="1" x14ac:dyDescent="0.2">
      <c r="A16" s="34">
        <v>5</v>
      </c>
      <c r="B16" s="44">
        <v>4</v>
      </c>
      <c r="C16" s="50" t="s">
        <v>59</v>
      </c>
      <c r="D16" s="51"/>
      <c r="E16" s="51">
        <v>3</v>
      </c>
      <c r="F16" s="51">
        <v>3</v>
      </c>
      <c r="G16" s="51">
        <v>9</v>
      </c>
      <c r="H16" s="51"/>
      <c r="I16" s="52">
        <v>0.6</v>
      </c>
      <c r="J16" s="53" t="s">
        <v>60</v>
      </c>
      <c r="K16" s="44" t="s">
        <v>61</v>
      </c>
      <c r="L16" s="53" t="s">
        <v>62</v>
      </c>
      <c r="M16" s="44" t="s">
        <v>63</v>
      </c>
    </row>
    <row r="17" spans="1:13" ht="26.1" customHeight="1" x14ac:dyDescent="0.2">
      <c r="A17" s="34">
        <v>6</v>
      </c>
      <c r="B17" s="44">
        <v>4</v>
      </c>
      <c r="C17" s="50" t="s">
        <v>64</v>
      </c>
      <c r="D17" s="46">
        <v>9</v>
      </c>
      <c r="E17" s="46">
        <v>9</v>
      </c>
      <c r="F17" s="46"/>
      <c r="G17" s="46">
        <v>3</v>
      </c>
      <c r="H17" s="46">
        <v>1</v>
      </c>
      <c r="I17" s="47">
        <v>0.8</v>
      </c>
      <c r="J17" s="53" t="s">
        <v>65</v>
      </c>
      <c r="K17" s="44" t="s">
        <v>66</v>
      </c>
      <c r="L17" s="53" t="s">
        <v>67</v>
      </c>
      <c r="M17" s="44" t="s">
        <v>68</v>
      </c>
    </row>
    <row r="18" spans="1:13" ht="26.1" customHeight="1" x14ac:dyDescent="0.2">
      <c r="A18" s="34">
        <v>7</v>
      </c>
      <c r="B18" s="44">
        <v>3</v>
      </c>
      <c r="C18" s="50" t="s">
        <v>69</v>
      </c>
      <c r="D18" s="51">
        <v>1</v>
      </c>
      <c r="E18" s="51">
        <v>3</v>
      </c>
      <c r="F18" s="51"/>
      <c r="G18" s="51"/>
      <c r="H18" s="51">
        <v>9</v>
      </c>
      <c r="I18" s="52">
        <v>0.4</v>
      </c>
      <c r="J18" s="53" t="s">
        <v>70</v>
      </c>
      <c r="K18" s="44" t="s">
        <v>71</v>
      </c>
      <c r="L18" s="53" t="s">
        <v>72</v>
      </c>
      <c r="M18" s="44" t="s">
        <v>73</v>
      </c>
    </row>
    <row r="19" spans="1:13" ht="26.1" customHeight="1" x14ac:dyDescent="0.2">
      <c r="A19" s="34">
        <v>8</v>
      </c>
      <c r="B19" s="44">
        <v>3</v>
      </c>
      <c r="C19" s="50" t="s">
        <v>74</v>
      </c>
      <c r="D19" s="51">
        <v>3</v>
      </c>
      <c r="E19" s="51">
        <v>3</v>
      </c>
      <c r="F19" s="51">
        <v>9</v>
      </c>
      <c r="G19" s="51">
        <v>3</v>
      </c>
      <c r="H19" s="51">
        <v>1</v>
      </c>
      <c r="I19" s="52">
        <v>0.6</v>
      </c>
      <c r="J19" s="53" t="s">
        <v>75</v>
      </c>
      <c r="K19" s="44" t="s">
        <v>76</v>
      </c>
      <c r="L19" s="53" t="s">
        <v>77</v>
      </c>
      <c r="M19" s="44" t="s">
        <v>78</v>
      </c>
    </row>
    <row r="20" spans="1:13" ht="26.1" customHeight="1" x14ac:dyDescent="0.2">
      <c r="A20" s="34">
        <v>9</v>
      </c>
      <c r="B20" s="44">
        <v>2</v>
      </c>
      <c r="C20" s="50" t="s">
        <v>79</v>
      </c>
      <c r="D20" s="51">
        <v>3</v>
      </c>
      <c r="E20" s="51">
        <v>3</v>
      </c>
      <c r="F20" s="51">
        <v>1</v>
      </c>
      <c r="G20" s="51"/>
      <c r="H20" s="51">
        <v>3</v>
      </c>
      <c r="I20" s="52">
        <v>0.4</v>
      </c>
      <c r="J20" s="53" t="s">
        <v>80</v>
      </c>
      <c r="K20" s="44" t="s">
        <v>81</v>
      </c>
      <c r="L20" s="53" t="s">
        <v>82</v>
      </c>
      <c r="M20" s="44" t="s">
        <v>83</v>
      </c>
    </row>
    <row r="21" spans="1:13" ht="15.95" customHeight="1" x14ac:dyDescent="0.2">
      <c r="B21" s="20"/>
      <c r="C21" s="24" t="s">
        <v>84</v>
      </c>
      <c r="D21" s="54">
        <f>SUMPRODUCT($B$12:$B$20,D12:D20)</f>
        <v>144</v>
      </c>
      <c r="E21" s="54">
        <f>SUMPRODUCT($B$12:$B$20,E12:E20)</f>
        <v>167</v>
      </c>
      <c r="F21" s="54">
        <f>SUMPRODUCT($B$12:$B$20,F12:F20)</f>
        <v>98</v>
      </c>
      <c r="G21" s="54">
        <f>SUMPRODUCT($B$12:$B$20,G12:G20)</f>
        <v>143</v>
      </c>
      <c r="H21" s="54">
        <f>SUMPRODUCT($B$12:$B$20,H12:H20)</f>
        <v>70</v>
      </c>
      <c r="I21" s="4">
        <f>SUM(D21:H21)</f>
        <v>622</v>
      </c>
      <c r="J21" s="72"/>
      <c r="K21" s="73"/>
      <c r="L21" s="73"/>
      <c r="M21" s="73"/>
    </row>
    <row r="22" spans="1:13" ht="15.95" customHeight="1" x14ac:dyDescent="0.2">
      <c r="B22" s="20"/>
      <c r="C22" s="25" t="s">
        <v>85</v>
      </c>
      <c r="D22" s="55">
        <f>D21/$I$21</f>
        <v>0.23151125401929259</v>
      </c>
      <c r="E22" s="55">
        <f>E21/$I$21</f>
        <v>0.26848874598070738</v>
      </c>
      <c r="F22" s="55">
        <f>F21/$I$21</f>
        <v>0.15755627009646303</v>
      </c>
      <c r="G22" s="55">
        <f>G21/$I$21</f>
        <v>0.22990353697749197</v>
      </c>
      <c r="H22" s="55">
        <f>H21/$I$21</f>
        <v>0.11254019292604502</v>
      </c>
      <c r="I22" s="5">
        <f>SUM(D22:H22)</f>
        <v>1</v>
      </c>
      <c r="J22" s="8"/>
      <c r="K22" s="8"/>
      <c r="L22" s="8"/>
      <c r="M22" s="8"/>
    </row>
    <row r="23" spans="1:13" ht="15.95" customHeight="1" x14ac:dyDescent="0.2">
      <c r="B23" s="20"/>
      <c r="C23" s="25" t="s">
        <v>86</v>
      </c>
      <c r="D23" s="43">
        <f>RANK(D21,$D$21:$H$21)</f>
        <v>2</v>
      </c>
      <c r="E23" s="43">
        <f>RANK(E21,$D$21:$H$21)</f>
        <v>1</v>
      </c>
      <c r="F23" s="43">
        <f>RANK(F21,$D$21:$H$21)</f>
        <v>4</v>
      </c>
      <c r="G23" s="43">
        <f>RANK(G21,$D$21:$H$21)</f>
        <v>3</v>
      </c>
      <c r="H23" s="43">
        <f>RANK(H21,$D$21:$H$21)</f>
        <v>5</v>
      </c>
      <c r="I23" s="6"/>
      <c r="J23" s="8"/>
      <c r="K23" s="8"/>
      <c r="L23" s="8"/>
      <c r="M23" s="8"/>
    </row>
    <row r="24" spans="1:13" ht="15.95" customHeight="1" x14ac:dyDescent="0.2">
      <c r="B24" s="16"/>
      <c r="C24" s="26" t="s">
        <v>87</v>
      </c>
      <c r="D24" s="56">
        <f>SUM(D13,D15:D16,D18:D20)</f>
        <v>16</v>
      </c>
      <c r="E24" s="56">
        <f>SUM(E13,E15:E16,E18:E20)</f>
        <v>22</v>
      </c>
      <c r="F24" s="56">
        <f>SUM(F13,F15:F16,F18:F20)</f>
        <v>22</v>
      </c>
      <c r="G24" s="56">
        <f>SUM(G13,G15:G16,G18:G20)</f>
        <v>21</v>
      </c>
      <c r="H24" s="56">
        <f>SUM(H13,H15:H16,H18:H20)</f>
        <v>16</v>
      </c>
      <c r="I24" s="6"/>
      <c r="J24" s="8"/>
      <c r="K24" s="8"/>
      <c r="L24" s="8"/>
      <c r="M24" s="8"/>
    </row>
    <row r="25" spans="1:13" ht="15.95" customHeight="1" x14ac:dyDescent="0.2">
      <c r="B25" s="16"/>
      <c r="C25" s="27" t="s">
        <v>88</v>
      </c>
      <c r="D25" s="57">
        <v>4</v>
      </c>
      <c r="E25" s="57">
        <v>1</v>
      </c>
      <c r="F25" s="57">
        <v>2</v>
      </c>
      <c r="G25" s="57">
        <v>3</v>
      </c>
      <c r="H25" s="57">
        <v>5</v>
      </c>
      <c r="I25" s="17"/>
      <c r="J25" s="8"/>
      <c r="K25" s="8"/>
      <c r="L25" s="8"/>
      <c r="M25" s="8"/>
    </row>
    <row r="26" spans="1:13" ht="12.75" customHeight="1" x14ac:dyDescent="0.2">
      <c r="C26" s="18"/>
      <c r="D26" s="19"/>
      <c r="E26" s="19"/>
      <c r="F26" s="19"/>
      <c r="G26" s="19"/>
      <c r="H26" s="19"/>
      <c r="I26" s="7"/>
      <c r="J26" s="8"/>
      <c r="K26" s="8"/>
      <c r="L26" s="8"/>
      <c r="M26" s="8"/>
    </row>
    <row r="27" spans="1:13" ht="12.75" customHeight="1" x14ac:dyDescent="0.2">
      <c r="B27" s="2" t="s">
        <v>89</v>
      </c>
      <c r="E27" s="7"/>
      <c r="F27" s="7"/>
      <c r="G27" s="7"/>
      <c r="H27" s="7"/>
      <c r="I27" s="7"/>
      <c r="K27" s="8"/>
      <c r="L27" s="8"/>
      <c r="M27" s="8"/>
    </row>
    <row r="28" spans="1:13" ht="409.5" customHeight="1" x14ac:dyDescent="0.2">
      <c r="C28" s="75" t="s">
        <v>90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</row>
    <row r="29" spans="1:13" ht="12" x14ac:dyDescent="0.2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12" x14ac:dyDescent="0.2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12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15" customHeight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2:13" ht="12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2:13" ht="12.75" customHeight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2:13" ht="12.75" customHeight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2:13" ht="12.75" customHeigh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2:13" ht="12.75" customHeight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2:13" ht="12.75" customHeight="1" x14ac:dyDescent="0.2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2:13" ht="12.75" customHeight="1" x14ac:dyDescent="0.2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2:13" ht="12.75" customHeight="1" x14ac:dyDescent="0.2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2:13" ht="12" x14ac:dyDescent="0.2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2:13" ht="12" x14ac:dyDescent="0.2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2:13" ht="12" x14ac:dyDescent="0.2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2:13" ht="12" x14ac:dyDescent="0.2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2:13" ht="12" x14ac:dyDescent="0.2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2:13" ht="12" x14ac:dyDescent="0.2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2:13" ht="12" x14ac:dyDescent="0.2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2:13" ht="12" x14ac:dyDescent="0.2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2:13" ht="12" x14ac:dyDescent="0.2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2:13" ht="12" x14ac:dyDescent="0.2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 ht="12" x14ac:dyDescent="0.2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2:13" ht="12" x14ac:dyDescent="0.2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2:13" ht="12" x14ac:dyDescent="0.2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3" ht="12" x14ac:dyDescent="0.2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2:13" ht="12" x14ac:dyDescent="0.2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2:13" ht="12" x14ac:dyDescent="0.2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2:13" ht="12" x14ac:dyDescent="0.2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2:13" ht="12" x14ac:dyDescent="0.2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2:13" ht="12" x14ac:dyDescent="0.2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2:13" ht="12" x14ac:dyDescent="0.2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2:13" ht="12" x14ac:dyDescent="0.2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2:13" ht="12" x14ac:dyDescent="0.2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2:13" ht="12" x14ac:dyDescent="0.2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2:13" ht="12" x14ac:dyDescent="0.2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2:13" ht="12" x14ac:dyDescent="0.2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2:13" ht="12" x14ac:dyDescent="0.2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2:13" ht="12" x14ac:dyDescent="0.2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2:13" ht="12" x14ac:dyDescent="0.2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2:13" ht="12" x14ac:dyDescent="0.2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2:13" ht="12" x14ac:dyDescent="0.2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2:13" ht="12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2:13" ht="12" x14ac:dyDescent="0.2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2:13" ht="12" x14ac:dyDescent="0.2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2:13" ht="12" x14ac:dyDescent="0.2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2:13" ht="12" x14ac:dyDescent="0.2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2:13" ht="12" x14ac:dyDescent="0.2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2:13" ht="12" x14ac:dyDescent="0.2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2:13" ht="12" x14ac:dyDescent="0.2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2:13" ht="12" x14ac:dyDescent="0.2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2:13" ht="12" x14ac:dyDescent="0.2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2:13" ht="12" x14ac:dyDescent="0.2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2:13" ht="12" x14ac:dyDescent="0.2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2:13" ht="12" x14ac:dyDescent="0.2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2:13" ht="12" x14ac:dyDescent="0.2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2:13" ht="12" x14ac:dyDescent="0.2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2:13" ht="12" x14ac:dyDescent="0.2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2:13" ht="12" x14ac:dyDescent="0.2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2:13" ht="12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2:13" ht="12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2:13" ht="12" x14ac:dyDescent="0.2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</sheetData>
  <mergeCells count="8">
    <mergeCell ref="C28:M28"/>
    <mergeCell ref="J10:M10"/>
    <mergeCell ref="E10:E11"/>
    <mergeCell ref="D10:D11"/>
    <mergeCell ref="J21:M21"/>
    <mergeCell ref="F10:F11"/>
    <mergeCell ref="H10:H11"/>
    <mergeCell ref="G10:G11"/>
  </mergeCells>
  <printOptions horizontalCentered="1" verticalCentered="1"/>
  <pageMargins left="0.1" right="0.1" top="0.1" bottom="0.1" header="0.2" footer="0.2"/>
  <pageSetup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H24" sqref="H24"/>
    </sheetView>
  </sheetViews>
  <sheetFormatPr defaultRowHeight="12.75" x14ac:dyDescent="0.2"/>
  <cols>
    <col min="1" max="1" width="26" customWidth="1"/>
    <col min="2" max="3" width="28" customWidth="1"/>
    <col min="4" max="4" width="34" customWidth="1"/>
    <col min="5" max="5" width="16" customWidth="1"/>
    <col min="6" max="6" width="15" customWidth="1"/>
    <col min="7" max="7" width="16" customWidth="1"/>
    <col min="8" max="8" width="32" customWidth="1"/>
    <col min="9" max="9" width="18" customWidth="1"/>
    <col min="10" max="10" width="24" customWidth="1"/>
  </cols>
  <sheetData>
    <row r="1" spans="1:10" ht="27.95" customHeight="1" x14ac:dyDescent="0.3">
      <c r="A1" s="74" t="s">
        <v>91</v>
      </c>
      <c r="B1" s="71"/>
      <c r="C1" s="71"/>
      <c r="D1" s="71"/>
      <c r="E1" s="71"/>
      <c r="F1" s="71"/>
      <c r="G1" s="71"/>
      <c r="H1" s="71"/>
      <c r="I1" s="71"/>
      <c r="J1" s="71"/>
    </row>
    <row r="3" spans="1:10" ht="30" customHeight="1" x14ac:dyDescent="0.2">
      <c r="A3" s="58" t="s">
        <v>92</v>
      </c>
      <c r="B3" s="58" t="s">
        <v>93</v>
      </c>
      <c r="C3" s="58" t="s">
        <v>94</v>
      </c>
      <c r="D3" s="58" t="s">
        <v>95</v>
      </c>
      <c r="E3" s="58" t="s">
        <v>96</v>
      </c>
      <c r="F3" s="58" t="s">
        <v>97</v>
      </c>
      <c r="G3" s="58" t="s">
        <v>98</v>
      </c>
      <c r="H3" s="58" t="s">
        <v>99</v>
      </c>
      <c r="I3" s="58" t="s">
        <v>100</v>
      </c>
    </row>
    <row r="4" spans="1:10" ht="24" customHeight="1" x14ac:dyDescent="0.2">
      <c r="A4" s="59" t="s">
        <v>101</v>
      </c>
      <c r="B4" s="60" t="s">
        <v>102</v>
      </c>
      <c r="C4" s="60" t="s">
        <v>103</v>
      </c>
      <c r="D4" s="60" t="s">
        <v>104</v>
      </c>
      <c r="E4" s="61">
        <v>250</v>
      </c>
      <c r="F4" s="61">
        <v>680</v>
      </c>
      <c r="G4" s="61">
        <v>20</v>
      </c>
      <c r="H4" s="60" t="s">
        <v>105</v>
      </c>
      <c r="I4" s="62">
        <v>3.1</v>
      </c>
    </row>
    <row r="5" spans="1:10" ht="24" customHeight="1" x14ac:dyDescent="0.2">
      <c r="A5" s="63" t="s">
        <v>106</v>
      </c>
      <c r="B5" s="64" t="s">
        <v>107</v>
      </c>
      <c r="C5" s="64" t="s">
        <v>108</v>
      </c>
      <c r="D5" s="64" t="s">
        <v>109</v>
      </c>
      <c r="E5" s="65">
        <v>400</v>
      </c>
      <c r="F5" s="65">
        <v>1000</v>
      </c>
      <c r="G5" s="65">
        <v>22</v>
      </c>
      <c r="H5" s="64" t="s">
        <v>110</v>
      </c>
      <c r="I5" s="66">
        <v>4.7</v>
      </c>
    </row>
    <row r="6" spans="1:10" ht="24" customHeight="1" x14ac:dyDescent="0.2">
      <c r="A6" s="59" t="s">
        <v>111</v>
      </c>
      <c r="B6" s="60" t="s">
        <v>112</v>
      </c>
      <c r="C6" s="60" t="s">
        <v>113</v>
      </c>
      <c r="D6" s="60" t="s">
        <v>114</v>
      </c>
      <c r="E6" s="61">
        <v>350</v>
      </c>
      <c r="F6" s="61">
        <v>850</v>
      </c>
      <c r="G6" s="61">
        <v>20</v>
      </c>
      <c r="H6" s="60" t="s">
        <v>115</v>
      </c>
      <c r="I6" s="62">
        <v>4.0999999999999996</v>
      </c>
    </row>
    <row r="7" spans="1:10" ht="24" customHeight="1" x14ac:dyDescent="0.2">
      <c r="A7" s="63" t="s">
        <v>38</v>
      </c>
      <c r="B7" s="64" t="s">
        <v>116</v>
      </c>
      <c r="C7" s="64" t="s">
        <v>117</v>
      </c>
      <c r="D7" s="64" t="s">
        <v>118</v>
      </c>
      <c r="E7" s="65">
        <v>280</v>
      </c>
      <c r="F7" s="65">
        <v>680</v>
      </c>
      <c r="G7" s="65">
        <v>20</v>
      </c>
      <c r="H7" s="64" t="s">
        <v>119</v>
      </c>
      <c r="I7" s="66">
        <v>3.8</v>
      </c>
    </row>
    <row r="8" spans="1:10" ht="24" customHeight="1" x14ac:dyDescent="0.2"/>
    <row r="9" spans="1:10" ht="24" customHeight="1" x14ac:dyDescent="0.2"/>
    <row r="10" spans="1:10" ht="24" customHeight="1" x14ac:dyDescent="0.2"/>
    <row r="11" spans="1:10" ht="24" customHeight="1" x14ac:dyDescent="0.2"/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Инструкция</vt:lpstr>
      <vt:lpstr>Дом качества (Магистральные)</vt:lpstr>
      <vt:lpstr>Сравнение реальных моделей</vt:lpstr>
      <vt:lpstr>'Дом качества (Магистральные)'!Область_печати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Waive</dc:creator>
  <cp:lastModifiedBy>Александр Золотухин</cp:lastModifiedBy>
  <cp:lastPrinted>2023-09-19T08:39:20Z</cp:lastPrinted>
  <dcterms:created xsi:type="dcterms:W3CDTF">1996-10-14T23:33:28Z</dcterms:created>
  <dcterms:modified xsi:type="dcterms:W3CDTF">2026-10-13T19:05:29Z</dcterms:modified>
</cp:coreProperties>
</file>