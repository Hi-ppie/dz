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300" tabRatio="600" firstSheet="0" activeTab="1" autoFilterDateGrouping="1"/>
  </bookViews>
  <sheets>
    <sheet name="Инструкция" sheetId="1" state="visible" r:id="rId1"/>
    <sheet name="Дом качества" sheetId="2" state="visible" r:id="rId2"/>
    <sheet name="Сравнение реальных моделей" sheetId="3" state="visible" r:id="rId3"/>
  </sheets>
  <externalReferences>
    <externalReference r:id="rId4"/>
  </externalReferences>
  <definedNames>
    <definedName name="Correlation_Options">'[1]Data Validation Sources'!$C$2:$C$6</definedName>
    <definedName name="_xlnm.Print_Area" localSheetId="1">'Дом качества'!$A$1:$N$33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7">
    <font>
      <name val="Arial"/>
      <sz val="10"/>
    </font>
    <font>
      <name val="Calibri"/>
      <family val="2"/>
      <sz val="10"/>
      <scheme val="minor"/>
    </font>
    <font>
      <name val="Calibri"/>
      <family val="2"/>
      <sz val="9"/>
      <scheme val="minor"/>
    </font>
    <font>
      <name val="Calibri"/>
      <family val="2"/>
      <color theme="1" tint="0.249977111117893"/>
      <sz val="8"/>
      <scheme val="minor"/>
    </font>
    <font>
      <name val="Calibri"/>
      <family val="2"/>
      <color rgb="FF0000CC"/>
      <sz val="9"/>
      <scheme val="minor"/>
    </font>
    <font>
      <name val="Calibri"/>
      <family val="2"/>
      <sz val="8"/>
      <scheme val="minor"/>
    </font>
    <font>
      <name val="Calibri"/>
      <family val="2"/>
      <color theme="0" tint="-0.499984740745262"/>
      <sz val="9"/>
      <scheme val="minor"/>
    </font>
    <font>
      <name val="Calibri"/>
      <family val="2"/>
      <b val="1"/>
      <sz val="9"/>
      <scheme val="minor"/>
    </font>
    <font>
      <name val="Calibri"/>
      <family val="2"/>
      <color theme="1" tint="0.249977111117893"/>
      <sz val="9"/>
      <scheme val="minor"/>
    </font>
    <font>
      <name val="Calibri"/>
      <family val="2"/>
      <color theme="1" tint="0.499984740745262"/>
      <sz val="9"/>
      <scheme val="minor"/>
    </font>
    <font>
      <name val="Calibri"/>
      <family val="2"/>
      <b val="1"/>
      <color theme="1" tint="0.249977111117893"/>
      <sz val="9"/>
      <scheme val="minor"/>
    </font>
    <font>
      <name val="Calibri"/>
      <family val="2"/>
      <sz val="11"/>
      <scheme val="minor"/>
    </font>
    <font>
      <name val="Calibri"/>
      <family val="2"/>
      <color indexed="55"/>
      <sz val="9"/>
      <scheme val="minor"/>
    </font>
    <font>
      <name val="Calibri"/>
      <family val="2"/>
      <sz val="20"/>
      <scheme val="minor"/>
    </font>
    <font>
      <name val="Calibri"/>
      <family val="2"/>
      <color theme="1" tint="0.249977111117893"/>
      <sz val="12"/>
      <scheme val="minor"/>
    </font>
    <font>
      <name val="Calibri"/>
      <family val="2"/>
      <b val="1"/>
      <color theme="1" tint="0.249977111117893"/>
      <sz val="10"/>
      <scheme val="minor"/>
    </font>
    <font>
      <name val="Calibri"/>
      <family val="2"/>
      <color theme="1" tint="0.249977111117893"/>
      <sz val="10"/>
      <scheme val="minor"/>
    </font>
  </fonts>
  <fills count="8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3E1FF"/>
        <bgColor indexed="64"/>
      </patternFill>
    </fill>
    <fill>
      <patternFill patternType="solid">
        <fgColor rgb="FFEAEAEA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theme="0" tint="-0.3499862666707358"/>
      </bottom>
      <diagonal/>
    </border>
    <border>
      <left/>
      <right style="thin">
        <color theme="0" tint="-0.3499862666707358"/>
      </right>
      <top/>
      <bottom style="thin">
        <color theme="0" tint="-0.3499862666707358"/>
      </bottom>
      <diagonal/>
    </border>
    <border>
      <left/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 style="thin">
        <color theme="0" tint="-0.3499862666707358"/>
      </right>
      <top/>
      <bottom/>
      <diagonal/>
    </border>
    <border>
      <left/>
      <right/>
      <top style="thin">
        <color theme="0" tint="-0.3499862666707358"/>
      </top>
      <bottom/>
      <diagonal/>
    </border>
    <border>
      <left/>
      <right style="thin">
        <color theme="0" tint="-0.3499862666707358"/>
      </right>
      <top style="thin">
        <color theme="0" tint="-0.3499862666707358"/>
      </top>
      <bottom/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/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/>
      <diagonal/>
    </border>
    <border>
      <left/>
      <right/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/>
      <top/>
      <bottom/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3499862666707358"/>
      </left>
      <right/>
      <top/>
      <bottom/>
      <diagonal/>
    </border>
  </borders>
  <cellStyleXfs count="1">
    <xf numFmtId="0" fontId="0" fillId="0" borderId="0"/>
  </cellStyleXfs>
  <cellXfs count="82">
    <xf numFmtId="0" fontId="0" fillId="0" borderId="0" pivotButton="0" quotePrefix="0" xfId="0"/>
    <xf numFmtId="0" fontId="3" fillId="4" borderId="13" applyAlignment="1" pivotButton="0" quotePrefix="0" xfId="0">
      <alignment horizontal="center" vertical="center"/>
    </xf>
    <xf numFmtId="0" fontId="1" fillId="4" borderId="0" pivotButton="0" quotePrefix="0" xfId="0"/>
    <xf numFmtId="0" fontId="2" fillId="4" borderId="0" applyAlignment="1" pivotButton="0" quotePrefix="0" xfId="0">
      <alignment horizontal="right" vertical="center"/>
    </xf>
    <xf numFmtId="0" fontId="8" fillId="4" borderId="0" applyAlignment="1" pivotButton="0" quotePrefix="0" xfId="0">
      <alignment horizontal="left" vertical="center"/>
    </xf>
    <xf numFmtId="0" fontId="6" fillId="4" borderId="5" applyAlignment="1" pivotButton="0" quotePrefix="0" xfId="0">
      <alignment horizontal="center"/>
    </xf>
    <xf numFmtId="9" fontId="6" fillId="4" borderId="0" applyAlignment="1" pivotButton="0" quotePrefix="0" xfId="0">
      <alignment horizontal="center"/>
    </xf>
    <xf numFmtId="0" fontId="8" fillId="4" borderId="0" applyAlignment="1" pivotButton="0" quotePrefix="0" xfId="0">
      <alignment horizontal="center"/>
    </xf>
    <xf numFmtId="0" fontId="2" fillId="4" borderId="0" pivotButton="0" quotePrefix="0" xfId="0"/>
    <xf numFmtId="0" fontId="2" fillId="5" borderId="8" applyAlignment="1" applyProtection="1" pivotButton="0" quotePrefix="0" xfId="0">
      <alignment horizontal="left" vertical="center" wrapText="1"/>
      <protection locked="0" hidden="0"/>
    </xf>
    <xf numFmtId="0" fontId="2" fillId="5" borderId="7" applyAlignment="1" applyProtection="1" pivotButton="0" quotePrefix="0" xfId="0">
      <alignment horizontal="left" vertical="center" wrapText="1"/>
      <protection locked="0" hidden="0"/>
    </xf>
    <xf numFmtId="0" fontId="7" fillId="3" borderId="7" applyAlignment="1" applyProtection="1" pivotButton="0" quotePrefix="0" xfId="0">
      <alignment horizontal="center" vertical="center"/>
      <protection locked="0" hidden="0"/>
    </xf>
    <xf numFmtId="0" fontId="8" fillId="3" borderId="6" applyAlignment="1" applyProtection="1" pivotButton="0" quotePrefix="0" xfId="0">
      <alignment horizontal="center" vertical="center"/>
      <protection locked="0" hidden="0"/>
    </xf>
    <xf numFmtId="0" fontId="8" fillId="3" borderId="10" applyAlignment="1" applyProtection="1" pivotButton="0" quotePrefix="0" xfId="0">
      <alignment horizontal="center" vertical="center"/>
      <protection locked="0" hidden="0"/>
    </xf>
    <xf numFmtId="0" fontId="8" fillId="3" borderId="7" applyAlignment="1" applyProtection="1" pivotButton="0" quotePrefix="0" xfId="0">
      <alignment horizontal="center" vertical="center"/>
      <protection locked="0" hidden="0"/>
    </xf>
    <xf numFmtId="0" fontId="2" fillId="3" borderId="14" applyProtection="1" pivotButton="0" quotePrefix="0" xfId="0">
      <protection locked="0" hidden="0"/>
    </xf>
    <xf numFmtId="0" fontId="2" fillId="3" borderId="15" applyProtection="1" pivotButton="0" quotePrefix="0" xfId="0">
      <protection locked="0" hidden="0"/>
    </xf>
    <xf numFmtId="0" fontId="2" fillId="3" borderId="15" applyAlignment="1" applyProtection="1" pivotButton="0" quotePrefix="0" xfId="0">
      <alignment vertical="center"/>
      <protection locked="0" hidden="0"/>
    </xf>
    <xf numFmtId="0" fontId="2" fillId="3" borderId="16" applyAlignment="1" applyProtection="1" pivotButton="0" quotePrefix="0" xfId="0">
      <alignment vertical="center"/>
      <protection locked="0" hidden="0"/>
    </xf>
    <xf numFmtId="0" fontId="2" fillId="3" borderId="17" applyProtection="1" pivotButton="0" quotePrefix="0" xfId="0">
      <protection locked="0" hidden="0"/>
    </xf>
    <xf numFmtId="0" fontId="2" fillId="3" borderId="18" applyProtection="1" pivotButton="0" quotePrefix="0" xfId="0">
      <protection locked="0" hidden="0"/>
    </xf>
    <xf numFmtId="0" fontId="2" fillId="3" borderId="19" applyProtection="1" pivotButton="0" quotePrefix="0" xfId="0">
      <protection locked="0" hidden="0"/>
    </xf>
    <xf numFmtId="0" fontId="2" fillId="3" borderId="20" applyProtection="1" pivotButton="0" quotePrefix="0" xfId="0">
      <protection locked="0" hidden="0"/>
    </xf>
    <xf numFmtId="0" fontId="2" fillId="3" borderId="0" applyProtection="1" pivotButton="0" quotePrefix="0" xfId="0">
      <protection locked="0" hidden="0"/>
    </xf>
    <xf numFmtId="0" fontId="2" fillId="3" borderId="0" applyAlignment="1" applyProtection="1" pivotButton="0" quotePrefix="0" xfId="0">
      <alignment vertical="center"/>
      <protection locked="0" hidden="0"/>
    </xf>
    <xf numFmtId="0" fontId="2" fillId="3" borderId="21" applyAlignment="1" applyProtection="1" pivotButton="0" quotePrefix="0" xfId="0">
      <alignment vertical="center"/>
      <protection locked="0" hidden="0"/>
    </xf>
    <xf numFmtId="0" fontId="2" fillId="4" borderId="0" pivotButton="0" quotePrefix="0" xfId="0"/>
    <xf numFmtId="0" fontId="4" fillId="4" borderId="0" applyAlignment="1" pivotButton="0" quotePrefix="0" xfId="0">
      <alignment horizontal="left" vertical="center"/>
    </xf>
    <xf numFmtId="0" fontId="10" fillId="4" borderId="0" applyAlignment="1" pivotButton="0" quotePrefix="0" xfId="0">
      <alignment vertical="center"/>
    </xf>
    <xf numFmtId="0" fontId="8" fillId="4" borderId="0" pivotButton="0" quotePrefix="0" xfId="0"/>
    <xf numFmtId="0" fontId="12" fillId="4" borderId="0" applyAlignment="1" pivotButton="0" quotePrefix="0" xfId="0">
      <alignment horizontal="center"/>
    </xf>
    <xf numFmtId="0" fontId="10" fillId="4" borderId="0" applyAlignment="1" pivotButton="0" quotePrefix="0" xfId="0">
      <alignment horizontal="center" vertical="center"/>
    </xf>
    <xf numFmtId="0" fontId="8" fillId="4" borderId="0" applyAlignment="1" pivotButton="0" quotePrefix="0" xfId="0">
      <alignment vertical="center"/>
    </xf>
    <xf numFmtId="0" fontId="10" fillId="4" borderId="13" applyAlignment="1" pivotButton="0" quotePrefix="0" xfId="0">
      <alignment horizontal="center" vertical="center"/>
    </xf>
    <xf numFmtId="0" fontId="8" fillId="4" borderId="13" applyAlignment="1" pivotButton="0" quotePrefix="0" xfId="0">
      <alignment horizontal="center" vertical="center"/>
    </xf>
    <xf numFmtId="0" fontId="12" fillId="4" borderId="0" applyAlignment="1" pivotButton="0" quotePrefix="0" xfId="0">
      <alignment horizontal="center"/>
    </xf>
    <xf numFmtId="0" fontId="2" fillId="3" borderId="1" applyAlignment="1" applyProtection="1" pivotButton="0" quotePrefix="0" xfId="0">
      <alignment horizontal="center" vertical="center"/>
      <protection locked="0" hidden="0"/>
    </xf>
    <xf numFmtId="0" fontId="2" fillId="3" borderId="9" applyAlignment="1" applyProtection="1" pivotButton="0" quotePrefix="0" xfId="0">
      <alignment horizontal="center" vertical="center"/>
      <protection locked="0" hidden="0"/>
    </xf>
    <xf numFmtId="0" fontId="2" fillId="3" borderId="11" applyAlignment="1" applyProtection="1" pivotButton="0" quotePrefix="0" xfId="0">
      <alignment horizontal="center" vertical="center"/>
      <protection locked="0" hidden="0"/>
    </xf>
    <xf numFmtId="0" fontId="2" fillId="3" borderId="7" applyAlignment="1" applyProtection="1" pivotButton="0" quotePrefix="0" xfId="0">
      <alignment horizontal="center" vertical="center"/>
      <protection locked="0" hidden="0"/>
    </xf>
    <xf numFmtId="0" fontId="2" fillId="4" borderId="0" applyAlignment="1" pivotButton="0" quotePrefix="0" xfId="0">
      <alignment vertical="center"/>
    </xf>
    <xf numFmtId="0" fontId="2" fillId="4" borderId="4" applyAlignment="1" pivotButton="0" quotePrefix="0" xfId="0">
      <alignment vertical="center"/>
    </xf>
    <xf numFmtId="0" fontId="2" fillId="3" borderId="12" applyAlignment="1" applyProtection="1" pivotButton="0" quotePrefix="0" xfId="0">
      <alignment horizontal="center" vertical="center"/>
      <protection locked="0" hidden="0"/>
    </xf>
    <xf numFmtId="0" fontId="9" fillId="4" borderId="0" applyAlignment="1" pivotButton="0" quotePrefix="0" xfId="0">
      <alignment horizontal="left"/>
    </xf>
    <xf numFmtId="0" fontId="12" fillId="4" borderId="0" applyAlignment="1" pivotButton="0" quotePrefix="0" xfId="0">
      <alignment horizontal="right"/>
    </xf>
    <xf numFmtId="0" fontId="9" fillId="4" borderId="0" applyAlignment="1" pivotButton="0" quotePrefix="0" xfId="0">
      <alignment horizontal="center" vertical="center"/>
    </xf>
    <xf numFmtId="0" fontId="2" fillId="4" borderId="0" applyAlignment="1" pivotButton="0" quotePrefix="0" xfId="0">
      <alignment vertical="center"/>
    </xf>
    <xf numFmtId="0" fontId="13" fillId="4" borderId="0" pivotButton="0" quotePrefix="0" xfId="0"/>
    <xf numFmtId="0" fontId="5" fillId="7" borderId="7" applyAlignment="1" pivotButton="0" quotePrefix="0" xfId="0">
      <alignment horizontal="right" vertical="center"/>
    </xf>
    <xf numFmtId="0" fontId="2" fillId="7" borderId="7" applyAlignment="1" pivotButton="0" quotePrefix="0" xfId="0">
      <alignment horizontal="center" vertical="center" wrapText="1"/>
    </xf>
    <xf numFmtId="0" fontId="2" fillId="7" borderId="2" applyAlignment="1" pivotButton="0" quotePrefix="0" xfId="0">
      <alignment horizontal="center" vertical="center" wrapText="1"/>
    </xf>
    <xf numFmtId="0" fontId="6" fillId="7" borderId="3" applyAlignment="1" pivotButton="0" quotePrefix="0" xfId="0">
      <alignment horizontal="center" vertical="center"/>
    </xf>
    <xf numFmtId="0" fontId="2" fillId="7" borderId="9" applyAlignment="1" pivotButton="0" quotePrefix="0" xfId="0">
      <alignment horizontal="right" vertical="center"/>
    </xf>
    <xf numFmtId="0" fontId="2" fillId="7" borderId="7" applyAlignment="1" pivotButton="0" quotePrefix="0" xfId="0">
      <alignment horizontal="right" vertical="center"/>
    </xf>
    <xf numFmtId="0" fontId="2" fillId="7" borderId="4" applyAlignment="1" pivotButton="0" quotePrefix="0" xfId="0">
      <alignment horizontal="right" vertical="center"/>
    </xf>
    <xf numFmtId="0" fontId="7" fillId="7" borderId="3" applyAlignment="1" pivotButton="0" quotePrefix="0" xfId="0">
      <alignment horizontal="right" vertical="center"/>
    </xf>
    <xf numFmtId="0" fontId="2" fillId="7" borderId="9" applyAlignment="1" pivotButton="0" quotePrefix="0" xfId="0">
      <alignment horizontal="center" vertical="center"/>
    </xf>
    <xf numFmtId="9" fontId="2" fillId="7" borderId="7" applyAlignment="1" pivotButton="0" quotePrefix="0" xfId="0">
      <alignment horizontal="center" vertical="center"/>
    </xf>
    <xf numFmtId="0" fontId="7" fillId="7" borderId="7" applyAlignment="1" pivotButton="0" quotePrefix="0" xfId="0">
      <alignment horizontal="center" vertical="center"/>
    </xf>
    <xf numFmtId="0" fontId="2" fillId="7" borderId="9" applyAlignment="1" pivotButton="0" quotePrefix="0" xfId="0">
      <alignment horizontal="center" wrapText="1"/>
    </xf>
    <xf numFmtId="0" fontId="2" fillId="7" borderId="10" applyAlignment="1" pivotButton="0" quotePrefix="0" xfId="0">
      <alignment horizontal="right" vertical="center" wrapText="1"/>
    </xf>
    <xf numFmtId="0" fontId="2" fillId="3" borderId="13" applyAlignment="1" applyProtection="1" pivotButton="0" quotePrefix="0" xfId="0">
      <alignment horizontal="left" vertical="center"/>
      <protection locked="0" hidden="0"/>
    </xf>
    <xf numFmtId="0" fontId="10" fillId="4" borderId="0" applyAlignment="1" pivotButton="0" quotePrefix="0" xfId="0">
      <alignment horizontal="left" vertical="center"/>
    </xf>
    <xf numFmtId="0" fontId="14" fillId="4" borderId="13" applyAlignment="1" pivotButton="0" quotePrefix="1" xfId="0">
      <alignment horizontal="center" vertical="center"/>
    </xf>
    <xf numFmtId="0" fontId="14" fillId="4" borderId="13" applyAlignment="1" pivotButton="0" quotePrefix="0" xfId="0">
      <alignment horizontal="center" vertical="center"/>
    </xf>
    <xf numFmtId="0" fontId="15" fillId="4" borderId="0" applyAlignment="1" pivotButton="0" quotePrefix="0" xfId="0">
      <alignment vertical="center"/>
    </xf>
    <xf numFmtId="0" fontId="16" fillId="4" borderId="0" applyAlignment="1" pivotButton="0" quotePrefix="0" xfId="0">
      <alignment vertical="center"/>
    </xf>
    <xf numFmtId="0" fontId="16" fillId="4" borderId="0" pivotButton="0" quotePrefix="0" xfId="0"/>
    <xf numFmtId="0" fontId="12" fillId="4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right" vertical="center"/>
    </xf>
    <xf numFmtId="0" fontId="3" fillId="4" borderId="13" applyAlignment="1" pivotButton="0" quotePrefix="1" xfId="0">
      <alignment horizontal="center" vertical="center"/>
    </xf>
    <xf numFmtId="0" fontId="10" fillId="4" borderId="0" applyAlignment="1" pivotButton="0" quotePrefix="0" xfId="0">
      <alignment horizontal="left" vertical="center" wrapText="1"/>
    </xf>
    <xf numFmtId="0" fontId="9" fillId="4" borderId="0" applyAlignment="1" pivotButton="0" quotePrefix="0" xfId="0">
      <alignment horizontal="center" wrapText="1"/>
    </xf>
    <xf numFmtId="0" fontId="5" fillId="7" borderId="3" applyAlignment="1" pivotButton="0" quotePrefix="0" xfId="0">
      <alignment horizontal="center" vertical="center" wrapText="1"/>
    </xf>
    <xf numFmtId="0" fontId="9" fillId="4" borderId="5" applyAlignment="1" pivotButton="0" quotePrefix="0" xfId="0">
      <alignment horizontal="center"/>
    </xf>
    <xf numFmtId="0" fontId="11" fillId="2" borderId="0" applyAlignment="1" pivotButton="0" quotePrefix="0" xfId="0">
      <alignment horizontal="center" vertical="center"/>
    </xf>
    <xf numFmtId="0" fontId="2" fillId="6" borderId="7" applyAlignment="1" applyProtection="1" pivotButton="0" quotePrefix="0" xfId="0">
      <alignment horizontal="center" vertical="center" wrapText="1"/>
      <protection locked="0" hidden="0"/>
    </xf>
    <xf numFmtId="0" fontId="2" fillId="6" borderId="7" applyProtection="1" pivotButton="0" quotePrefix="0" xfId="0">
      <protection locked="0" hidden="0"/>
    </xf>
    <xf numFmtId="0" fontId="9" fillId="4" borderId="1" applyAlignment="1" pivotButton="0" quotePrefix="0" xfId="0">
      <alignment horizontal="center"/>
    </xf>
    <xf numFmtId="0" fontId="0" fillId="0" borderId="1" pivotButton="0" quotePrefix="0" xfId="0"/>
    <xf numFmtId="0" fontId="0" fillId="0" borderId="9" applyProtection="1" pivotButton="0" quotePrefix="0" xfId="0">
      <protection locked="0" hidden="0"/>
    </xf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/Users/dsaadeddin/Desktop/QFD/House%20of%20Quality%20(1).xls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House of Quality 1"/>
      <sheetName val="Data Validation Sources"/>
      <sheetName val="House of Quality 2"/>
      <sheetName val="House of Quality 3"/>
      <sheetName val="House of Quality 4"/>
      <sheetName val="About"/>
    </sheetNames>
    <sheetDataSet>
      <sheetData sheetId="0" refreshError="1"/>
      <sheetData sheetId="1">
        <row r="2">
          <cell r="C2" t="str">
            <v>┼┼</v>
          </cell>
        </row>
        <row r="3">
          <cell r="C3" t="str">
            <v>┼</v>
          </cell>
        </row>
        <row r="4">
          <cell r="C4" t="str">
            <v>▬</v>
          </cell>
        </row>
        <row r="5">
          <cell r="C5" t="str">
            <v>▼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1"/>
  <sheetViews>
    <sheetView topLeftCell="A55" workbookViewId="0">
      <selection activeCell="R12" sqref="R12"/>
    </sheetView>
  </sheetViews>
  <sheetFormatPr baseColWidth="8" defaultRowHeight="12.75"/>
  <sheetData/>
  <pageMargins left="0.7" right="0.7" top="0.75" bottom="0.75" header="0.3" footer="0.3"/>
  <pageSetup orientation="portrait" paperSize="9" scale="69" fitToHeight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0"/>
  <sheetViews>
    <sheetView showGridLines="0" tabSelected="1" zoomScale="130" zoomScaleNormal="130" workbookViewId="0">
      <selection activeCell="I21" sqref="I21"/>
    </sheetView>
  </sheetViews>
  <sheetFormatPr baseColWidth="8" defaultColWidth="8.85546875" defaultRowHeight="12"/>
  <cols>
    <col width="2.7109375" customWidth="1" style="26" min="1" max="1"/>
    <col width="12.28515625" customWidth="1" style="26" min="2" max="2"/>
    <col width="30.7109375" customWidth="1" style="26" min="3" max="3"/>
    <col width="10.7109375" customWidth="1" style="26" min="4" max="9"/>
    <col width="11.5703125" customWidth="1" style="26" min="10" max="13"/>
    <col width="2.7109375" customWidth="1" style="26" min="14" max="14"/>
    <col width="8.85546875" customWidth="1" style="26" min="15" max="16384"/>
  </cols>
  <sheetData>
    <row r="1" ht="26.25" customHeight="1">
      <c r="B1" s="47" t="inlineStr">
        <is>
          <t>Дом качества</t>
        </is>
      </c>
    </row>
    <row r="2" ht="15" customHeight="1">
      <c r="B2" s="69" t="n"/>
      <c r="G2" s="27" t="n"/>
      <c r="H2" s="27" t="n"/>
      <c r="K2" s="28" t="n"/>
      <c r="L2" s="29" t="n"/>
    </row>
    <row r="3" ht="15" customHeight="1">
      <c r="B3" s="69" t="inlineStr">
        <is>
          <t>Название проекта:</t>
        </is>
      </c>
      <c r="C3" s="61" t="inlineStr">
        <is>
          <t>БПЛА для аэрофотосъемки (картография и инспекции инфраструктуры)</t>
        </is>
      </c>
      <c r="D3" s="69" t="n"/>
      <c r="E3" s="27" t="n"/>
      <c r="F3" s="35" t="n"/>
      <c r="G3" s="69" t="n"/>
      <c r="J3" s="62" t="inlineStr">
        <is>
          <t>Корелляция:</t>
        </is>
      </c>
      <c r="K3" s="31" t="n"/>
      <c r="L3" s="32" t="n"/>
    </row>
    <row r="4" ht="15" customHeight="1">
      <c r="B4" s="69" t="inlineStr">
        <is>
          <t>Рук.проекта:</t>
        </is>
      </c>
      <c r="C4" s="61" t="inlineStr">
        <is>
          <t>Hi-ppie</t>
        </is>
      </c>
      <c r="D4" s="69" t="n"/>
      <c r="E4" s="27" t="n"/>
      <c r="F4" s="35" t="n"/>
      <c r="G4" s="69" t="n"/>
      <c r="J4" s="63" t="inlineStr">
        <is>
          <t>+</t>
        </is>
      </c>
      <c r="K4" s="64" t="inlineStr">
        <is>
          <t>.</t>
        </is>
      </c>
      <c r="L4" s="63" t="inlineStr">
        <is>
          <t>-</t>
        </is>
      </c>
    </row>
    <row r="5" ht="15" customHeight="1">
      <c r="B5" s="69" t="inlineStr">
        <is>
          <t>Дата:</t>
        </is>
      </c>
      <c r="C5" s="61" t="inlineStr">
        <is>
          <t>13.10.2026</t>
        </is>
      </c>
      <c r="D5" s="69" t="n"/>
      <c r="E5" s="27" t="n"/>
      <c r="F5" s="35" t="n"/>
      <c r="G5" s="69" t="n"/>
      <c r="J5" s="70" t="inlineStr">
        <is>
          <t>Положительно</t>
        </is>
      </c>
      <c r="K5" s="1" t="inlineStr">
        <is>
          <t>Нет зависимости</t>
        </is>
      </c>
      <c r="L5" s="70" t="inlineStr">
        <is>
          <t>Отрицательно</t>
        </is>
      </c>
    </row>
    <row r="6" ht="15" customHeight="1">
      <c r="B6" s="69" t="inlineStr">
        <is>
          <t>Этап (КТ)</t>
        </is>
      </c>
      <c r="C6" s="61" t="inlineStr">
        <is>
          <t>Выбор платформы и формирование ТЗ на улучшение</t>
        </is>
      </c>
      <c r="D6" s="69" t="n"/>
      <c r="E6" s="27" t="n"/>
      <c r="F6" s="35" t="n"/>
      <c r="G6" s="69" t="n"/>
      <c r="K6" s="31" t="n"/>
      <c r="L6" s="32" t="n"/>
    </row>
    <row r="7" ht="15" customHeight="1">
      <c r="B7" s="69" t="n"/>
      <c r="C7" s="4" t="n"/>
      <c r="D7" s="69" t="n"/>
      <c r="E7" s="27" t="n"/>
      <c r="F7" s="35" t="n"/>
      <c r="G7" s="69" t="n"/>
      <c r="J7" s="71" t="inlineStr">
        <is>
          <t>Соотношение:</t>
        </is>
      </c>
      <c r="K7" s="31" t="n"/>
      <c r="L7" s="32" t="n"/>
    </row>
    <row r="8" ht="15" customHeight="1">
      <c r="B8" s="69" t="n"/>
      <c r="C8" s="27" t="n"/>
      <c r="D8" s="69" t="n"/>
      <c r="E8" s="27" t="n"/>
      <c r="F8" s="35" t="n"/>
      <c r="G8" s="69" t="n"/>
      <c r="H8" s="27" t="n"/>
      <c r="J8" s="33" t="n">
        <v>9</v>
      </c>
      <c r="K8" s="33" t="n">
        <v>3</v>
      </c>
      <c r="L8" s="33" t="n">
        <v>1</v>
      </c>
      <c r="M8" s="33" t="n"/>
    </row>
    <row r="9" ht="15" customHeight="1">
      <c r="B9" s="69" t="n"/>
      <c r="C9" s="48" t="inlineStr">
        <is>
          <t>Направления улучшений (↑,0,↓)</t>
        </is>
      </c>
      <c r="D9" s="12" t="inlineStr">
        <is>
          <t>↓</t>
        </is>
      </c>
      <c r="E9" s="13" t="inlineStr">
        <is>
          <t>↑</t>
        </is>
      </c>
      <c r="F9" s="13" t="inlineStr">
        <is>
          <t>↑</t>
        </is>
      </c>
      <c r="G9" s="13" t="inlineStr">
        <is>
          <t>↓</t>
        </is>
      </c>
      <c r="H9" s="13" t="inlineStr">
        <is>
          <t>↑</t>
        </is>
      </c>
      <c r="J9" s="34" t="inlineStr">
        <is>
          <t>Сильно</t>
        </is>
      </c>
      <c r="K9" s="34" t="inlineStr">
        <is>
          <t>Средне</t>
        </is>
      </c>
      <c r="L9" s="34" t="inlineStr">
        <is>
          <t>Слабо</t>
        </is>
      </c>
      <c r="M9" s="34" t="inlineStr">
        <is>
          <t>Отсутствует</t>
        </is>
      </c>
    </row>
    <row r="10" ht="24" customHeight="1">
      <c r="A10" s="26" t="n"/>
      <c r="B10" s="72" t="inlineStr">
        <is>
          <t>Мин.: 1,
Макс.: 5</t>
        </is>
      </c>
      <c r="C10" s="60" t="inlineStr">
        <is>
          <t>3. Функциональные требования
→</t>
        </is>
      </c>
      <c r="D10" s="76" t="inlineStr">
        <is>
          <t>Ошибка геопозиционирования RTK/PPK, см</t>
        </is>
      </c>
      <c r="E10" s="76" t="inlineStr">
        <is>
          <t>Разрешение камеры, МП</t>
        </is>
      </c>
      <c r="F10" s="76" t="inlineStr">
        <is>
          <t>Время полета без посадки, мин</t>
        </is>
      </c>
      <c r="G10" s="76" t="inlineStr">
        <is>
          <t>Взлетная масса платформы, кг</t>
        </is>
      </c>
      <c r="H10" s="76" t="inlineStr">
        <is>
          <t>Предельная рабочая скорость ветра, м/с</t>
        </is>
      </c>
      <c r="I10" s="26" t="n"/>
      <c r="J10" s="78" t="inlineStr">
        <is>
          <t>Оценка: Слабо: 1, Сильно: 5</t>
        </is>
      </c>
      <c r="K10" s="79" t="n"/>
      <c r="L10" s="79" t="n"/>
      <c r="M10" s="79" t="n"/>
    </row>
    <row r="11" ht="36" customHeight="1">
      <c r="A11" s="35" t="n"/>
      <c r="B11" s="49" t="inlineStr">
        <is>
          <t>2. Важность для
потребителя</t>
        </is>
      </c>
      <c r="C11" s="59" t="inlineStr">
        <is>
          <t>1. Требования потребителя
↓</t>
        </is>
      </c>
      <c r="D11" s="80" t="n"/>
      <c r="E11" s="80" t="n"/>
      <c r="F11" s="80" t="n"/>
      <c r="G11" s="80" t="n"/>
      <c r="H11" s="80" t="n"/>
      <c r="I11" s="73" t="inlineStr">
        <is>
          <t>Коеф конкурентоспособности ИО</t>
        </is>
      </c>
      <c r="J11" s="50" t="inlineStr">
        <is>
          <t>DJI Mavic 3 Enterprise (ИО)</t>
        </is>
      </c>
      <c r="K11" s="49" t="inlineStr">
        <is>
          <t>DJI Phantom 4 RTK</t>
        </is>
      </c>
      <c r="L11" s="49" t="inlineStr">
        <is>
          <t>Autel EVO II Pro RTK V3</t>
        </is>
      </c>
      <c r="M11" s="49" t="inlineStr">
        <is>
          <t>senseFly eBee X</t>
        </is>
      </c>
    </row>
    <row r="12" ht="15" customHeight="1">
      <c r="A12" s="68" t="n">
        <v>1</v>
      </c>
      <c r="B12" s="14" t="n">
        <v>5</v>
      </c>
      <c r="C12" s="9" t="inlineStr">
        <is>
          <t>Точность геопривязки и картографирования</t>
        </is>
      </c>
      <c r="D12" s="39" t="n">
        <v>9</v>
      </c>
      <c r="E12" s="39" t="n">
        <v>3</v>
      </c>
      <c r="F12" s="39" t="n"/>
      <c r="G12" s="39" t="n"/>
      <c r="H12" s="39" t="n"/>
      <c r="I12" s="51" t="n">
        <v>0.9</v>
      </c>
      <c r="J12" s="36" t="inlineStr">
        <is>
          <t>RTK: 1 см + 1 ppm (с модулем) (4)</t>
        </is>
      </c>
      <c r="K12" s="37" t="inlineStr">
        <is>
          <t>RTK: 1 см + 1.5 ppm (4)</t>
        </is>
      </c>
      <c r="L12" s="36" t="inlineStr">
        <is>
          <t>RTK: 1 см + 1 ppm (5)</t>
        </is>
      </c>
      <c r="M12" s="37" t="inlineStr">
        <is>
          <t>PPK/RTK: ~3 см (3)</t>
        </is>
      </c>
    </row>
    <row r="13" ht="15" customHeight="1">
      <c r="A13" s="68" t="n">
        <v>2</v>
      </c>
      <c r="B13" s="14" t="n">
        <v>5</v>
      </c>
      <c r="C13" s="10" t="inlineStr">
        <is>
          <t>Длительное время полета без частых посадок</t>
        </is>
      </c>
      <c r="D13" s="39" t="n"/>
      <c r="E13" s="39" t="n"/>
      <c r="F13" s="39" t="n">
        <v>9</v>
      </c>
      <c r="G13" s="39" t="n">
        <v>3</v>
      </c>
      <c r="H13" s="39" t="n">
        <v>1</v>
      </c>
      <c r="I13" s="51" t="n">
        <v>0.6</v>
      </c>
      <c r="J13" s="38" t="inlineStr">
        <is>
          <t>До 45 мин (4)</t>
        </is>
      </c>
      <c r="K13" s="39" t="inlineStr">
        <is>
          <t>До 30 мин (2)</t>
        </is>
      </c>
      <c r="L13" s="38" t="inlineStr">
        <is>
          <t>До 42 мин (4)</t>
        </is>
      </c>
      <c r="M13" s="39" t="inlineStr">
        <is>
          <t>До 90 мин (5)</t>
        </is>
      </c>
    </row>
    <row r="14" ht="15" customHeight="1">
      <c r="A14" s="68" t="n">
        <v>3</v>
      </c>
      <c r="B14" s="14" t="n">
        <v>5</v>
      </c>
      <c r="C14" s="10" t="inlineStr">
        <is>
          <t>Высокая детализация фото/ортофотоплана</t>
        </is>
      </c>
      <c r="D14" s="39" t="n">
        <v>3</v>
      </c>
      <c r="E14" s="39" t="n">
        <v>9</v>
      </c>
      <c r="F14" s="39" t="n">
        <v>1</v>
      </c>
      <c r="G14" s="39" t="n"/>
      <c r="H14" s="39" t="n"/>
      <c r="I14" s="51" t="n">
        <v>0.8</v>
      </c>
      <c r="J14" s="38" t="inlineStr">
        <is>
          <t>4/3 CMOS 20 МП, мех. затвор (4)</t>
        </is>
      </c>
      <c r="K14" s="39" t="inlineStr">
        <is>
          <t>1" CMOS 20 МП, мех. затвор (4)</t>
        </is>
      </c>
      <c r="L14" s="38" t="inlineStr">
        <is>
          <t>1" CMOS 20 МП/6K (4)</t>
        </is>
      </c>
      <c r="M14" s="39" t="inlineStr">
        <is>
          <t>S.O.D.A. 3D 20 МП (3)</t>
        </is>
      </c>
    </row>
    <row r="15" ht="15" customHeight="1">
      <c r="A15" s="68" t="n">
        <v>4</v>
      </c>
      <c r="B15" s="14" t="n">
        <v>4</v>
      </c>
      <c r="C15" s="10" t="inlineStr">
        <is>
          <t>Стабильная работа при ветре и порывах</t>
        </is>
      </c>
      <c r="D15" s="39" t="n"/>
      <c r="E15" s="39" t="n"/>
      <c r="F15" s="39" t="n">
        <v>1</v>
      </c>
      <c r="G15" s="39" t="n">
        <v>3</v>
      </c>
      <c r="H15" s="39" t="n">
        <v>9</v>
      </c>
      <c r="I15" s="51" t="n">
        <v>0.7</v>
      </c>
      <c r="J15" s="38" t="inlineStr">
        <is>
          <t>Ветер до 12 м/с (4)</t>
        </is>
      </c>
      <c r="K15" s="39" t="inlineStr">
        <is>
          <t>Ветер до 10 м/с (3)</t>
        </is>
      </c>
      <c r="L15" s="38" t="inlineStr">
        <is>
          <t>Ветер до 12 м/с (4)</t>
        </is>
      </c>
      <c r="M15" s="39" t="inlineStr">
        <is>
          <t>Ветер до 12.8 м/с (5)</t>
        </is>
      </c>
    </row>
    <row r="16" ht="15" customHeight="1">
      <c r="A16" s="68" t="n">
        <v>5</v>
      </c>
      <c r="B16" s="14" t="n">
        <v>4</v>
      </c>
      <c r="C16" s="10" t="inlineStr">
        <is>
          <t>Большая площадь съемки за один вылет</t>
        </is>
      </c>
      <c r="D16" s="39" t="n"/>
      <c r="E16" s="39" t="n">
        <v>3</v>
      </c>
      <c r="F16" s="39" t="n">
        <v>9</v>
      </c>
      <c r="G16" s="39" t="n">
        <v>1</v>
      </c>
      <c r="H16" s="39" t="n">
        <v>3</v>
      </c>
      <c r="I16" s="51" t="n">
        <v>0.6</v>
      </c>
      <c r="J16" s="38" t="inlineStr">
        <is>
          <t>Покрытие за вылет: среднее (3)</t>
        </is>
      </c>
      <c r="K16" s="39" t="inlineStr">
        <is>
          <t>Малое покрытие (2)</t>
        </is>
      </c>
      <c r="L16" s="38" t="inlineStr">
        <is>
          <t>Среднее покрытие (3)</t>
        </is>
      </c>
      <c r="M16" s="39" t="inlineStr">
        <is>
          <t>Большое покрытие (5)</t>
        </is>
      </c>
    </row>
    <row r="17" ht="15" customHeight="1">
      <c r="A17" s="68" t="n">
        <v>6</v>
      </c>
      <c r="B17" s="14" t="n">
        <v>4</v>
      </c>
      <c r="C17" s="10" t="inlineStr">
        <is>
          <t>Безопасность полета и обход препятствий</t>
        </is>
      </c>
      <c r="D17" s="39" t="n">
        <v>1</v>
      </c>
      <c r="E17" s="39" t="n">
        <v>1</v>
      </c>
      <c r="F17" s="39" t="n">
        <v>3</v>
      </c>
      <c r="G17" s="39" t="n">
        <v>3</v>
      </c>
      <c r="H17" s="39" t="n">
        <v>3</v>
      </c>
      <c r="I17" s="51" t="n">
        <v>0.8</v>
      </c>
      <c r="J17" s="38" t="inlineStr">
        <is>
          <t>APAS 5.0, omnidirectional (5)</t>
        </is>
      </c>
      <c r="K17" s="39" t="inlineStr">
        <is>
          <t>Перед/низ датчики (3)</t>
        </is>
      </c>
      <c r="L17" s="38" t="inlineStr">
        <is>
          <t>Перед/зад/низ датчики (4)</t>
        </is>
      </c>
      <c r="M17" s="39" t="inlineStr">
        <is>
          <t>Failsafe RTH, без активного APAS (3)</t>
        </is>
      </c>
    </row>
    <row r="18" ht="15" customHeight="1">
      <c r="A18" s="68" t="n">
        <v>7</v>
      </c>
      <c r="B18" s="14" t="n">
        <v>3</v>
      </c>
      <c r="C18" s="10" t="inlineStr">
        <is>
          <t>Устойчивый канал связи на удалении</t>
        </is>
      </c>
      <c r="D18" s="39" t="n">
        <v>1</v>
      </c>
      <c r="E18" s="39" t="n"/>
      <c r="F18" s="39" t="n">
        <v>3</v>
      </c>
      <c r="G18" s="39" t="n"/>
      <c r="H18" s="39" t="n">
        <v>9</v>
      </c>
      <c r="I18" s="51" t="n">
        <v>0.6</v>
      </c>
      <c r="J18" s="38" t="inlineStr">
        <is>
          <t>O3 Enterprise до 15 км (4)</t>
        </is>
      </c>
      <c r="K18" s="39" t="inlineStr">
        <is>
          <t>OcuSync до 7 км (2)</t>
        </is>
      </c>
      <c r="L18" s="38" t="inlineStr">
        <is>
          <t>SkyLink 2 до 15 км (4)</t>
        </is>
      </c>
      <c r="M18" s="39" t="inlineStr">
        <is>
          <t>Радиолиния до 8 км (3)</t>
        </is>
      </c>
    </row>
    <row r="19" ht="15" customHeight="1">
      <c r="A19" s="68" t="n">
        <v>8</v>
      </c>
      <c r="B19" s="14" t="n">
        <v>3</v>
      </c>
      <c r="C19" s="10" t="inlineStr">
        <is>
          <t>Быстрая подготовка и простота эксплуатации</t>
        </is>
      </c>
      <c r="D19" s="39" t="n">
        <v>1</v>
      </c>
      <c r="E19" s="39" t="n"/>
      <c r="F19" s="39" t="n">
        <v>3</v>
      </c>
      <c r="G19" s="39" t="n">
        <v>9</v>
      </c>
      <c r="H19" s="39" t="n">
        <v>1</v>
      </c>
      <c r="I19" s="51" t="n">
        <v>0.8</v>
      </c>
      <c r="J19" s="38" t="inlineStr">
        <is>
          <t>Развертывание &lt;3 мин (5)</t>
        </is>
      </c>
      <c r="K19" s="39" t="inlineStr">
        <is>
          <t>~5 мин + калибровка (3)</t>
        </is>
      </c>
      <c r="L19" s="38" t="inlineStr">
        <is>
          <t>&lt;4 мин (4)</t>
        </is>
      </c>
      <c r="M19" s="39" t="inlineStr">
        <is>
          <t>Ручной запуск/посадка (2)</t>
        </is>
      </c>
    </row>
    <row r="20" ht="15" customHeight="1">
      <c r="A20" s="68" t="n">
        <v>9</v>
      </c>
      <c r="B20" s="14" t="n">
        <v>3</v>
      </c>
      <c r="C20" s="10" t="inlineStr">
        <is>
          <t>Доступная стоимость владения и обслуживания</t>
        </is>
      </c>
      <c r="D20" s="39" t="n">
        <v>1</v>
      </c>
      <c r="E20" s="39" t="n">
        <v>1</v>
      </c>
      <c r="F20" s="39" t="n">
        <v>3</v>
      </c>
      <c r="G20" s="39" t="n">
        <v>9</v>
      </c>
      <c r="H20" s="39" t="n">
        <v>1</v>
      </c>
      <c r="I20" s="51" t="n">
        <v>0.5</v>
      </c>
      <c r="J20" s="38" t="inlineStr">
        <is>
          <t>Комплект с RTK: высокий CAPEX (2)</t>
        </is>
      </c>
      <c r="K20" s="39" t="inlineStr">
        <is>
          <t>Ниже CAPEX, но устаревание (3)</t>
        </is>
      </c>
      <c r="L20" s="38" t="inlineStr">
        <is>
          <t>Высокий CAPEX/АКБ (2)</t>
        </is>
      </c>
      <c r="M20" s="39" t="inlineStr">
        <is>
          <t>Очень высокий CAPEX (1)</t>
        </is>
      </c>
    </row>
    <row r="21" ht="12.75" customHeight="1">
      <c r="A21" s="26" t="n"/>
      <c r="B21" s="46" t="n"/>
      <c r="C21" s="52" t="inlineStr">
        <is>
          <t>Техническая важность (расчет)</t>
        </is>
      </c>
      <c r="D21" s="56">
        <f>SUMPRODUCT($B$12:$B$20,D12:D20)</f>
        <v/>
      </c>
      <c r="E21" s="56">
        <f>SUMPRODUCT($B$12:$B$20,E12:E20)</f>
        <v/>
      </c>
      <c r="F21" s="56">
        <f>SUMPRODUCT($B$12:$B$20,F12:F20)</f>
        <v/>
      </c>
      <c r="G21" s="56">
        <f>SUMPRODUCT($B$12:$B$20,G12:G20)</f>
        <v/>
      </c>
      <c r="H21" s="56">
        <f>SUMPRODUCT($B$12:$B$20,H12:H20)</f>
        <v/>
      </c>
      <c r="I21" s="5">
        <f>SUM(D21:H21)</f>
        <v/>
      </c>
      <c r="J21" s="74" t="n"/>
      <c r="K21" s="81" t="n"/>
      <c r="L21" s="81" t="n"/>
      <c r="M21" s="81" t="n"/>
    </row>
    <row r="22" ht="12.75" customHeight="1">
      <c r="A22" s="26" t="n"/>
      <c r="B22" s="46" t="n"/>
      <c r="C22" s="53" t="inlineStr">
        <is>
          <t>Важность, %</t>
        </is>
      </c>
      <c r="D22" s="57">
        <f>D21/$I$21</f>
        <v/>
      </c>
      <c r="E22" s="57">
        <f>E21/$I$21</f>
        <v/>
      </c>
      <c r="F22" s="57">
        <f>F21/$I$21</f>
        <v/>
      </c>
      <c r="G22" s="57">
        <f>G21/$I$21</f>
        <v/>
      </c>
      <c r="H22" s="57">
        <f>H21/$I$21</f>
        <v/>
      </c>
      <c r="I22" s="6">
        <f>SUM(D22:H22)</f>
        <v/>
      </c>
    </row>
    <row r="23" ht="12.75" customHeight="1">
      <c r="A23" s="26" t="n"/>
      <c r="B23" s="46" t="n"/>
      <c r="C23" s="53" t="inlineStr">
        <is>
          <t>Приоритетность (топ n)</t>
        </is>
      </c>
      <c r="D23" s="58">
        <f>RANK(D21,$D$21:$H$21)</f>
        <v/>
      </c>
      <c r="E23" s="58">
        <f>RANK(E21,$D$21:$H$21)</f>
        <v/>
      </c>
      <c r="F23" s="58">
        <f>RANK(F21,$D$21:$H$21)</f>
        <v/>
      </c>
      <c r="G23" s="58">
        <f>RANK(G21,$D$21:$H$21)</f>
        <v/>
      </c>
      <c r="H23" s="58">
        <f>RANK(H21,$D$21:$H$21)</f>
        <v/>
      </c>
      <c r="I23" s="7" t="n"/>
    </row>
    <row r="24" ht="12.75" customHeight="1">
      <c r="A24" s="26" t="n"/>
      <c r="B24" s="41" t="n"/>
      <c r="C24" s="54" t="inlineStr">
        <is>
          <t>Сумма соотношений при Ki&lt;0,7</t>
        </is>
      </c>
      <c r="D24" s="42">
        <f>SUMIFS(D12:D20,$I$12:$I$20,"&lt;0.7")</f>
        <v/>
      </c>
      <c r="E24" s="42">
        <f>SUMIFS(E12:E20,$I$12:$I$20,"&lt;0.7")</f>
        <v/>
      </c>
      <c r="F24" s="42">
        <f>SUMIFS(F12:F20,$I$12:$I$20,"&lt;0.7")</f>
        <v/>
      </c>
      <c r="G24" s="42">
        <f>SUMIFS(G12:G20,$I$12:$I$20,"&lt;0.7")</f>
        <v/>
      </c>
      <c r="H24" s="42">
        <f>SUMIFS(H12:H20,$I$12:$I$20,"&lt;0.7")</f>
        <v/>
      </c>
      <c r="I24" s="7" t="n"/>
    </row>
    <row r="25" ht="12.75" customHeight="1">
      <c r="A25" s="26" t="n"/>
      <c r="B25" s="41" t="n"/>
      <c r="C25" s="55" t="inlineStr">
        <is>
          <t>Приоритет для улучшения</t>
        </is>
      </c>
      <c r="D25" s="11">
        <f>RANK(D24,$D$24:$H$24)</f>
        <v/>
      </c>
      <c r="E25" s="11">
        <f>RANK(E24,$D$24:$H$24)</f>
        <v/>
      </c>
      <c r="F25" s="11">
        <f>RANK(F24,$D$24:$H$24)</f>
        <v/>
      </c>
      <c r="G25" s="11">
        <f>RANK(G24,$D$24:$H$24)</f>
        <v/>
      </c>
      <c r="H25" s="11">
        <f>RANK(H24,$D$24:$H$24)</f>
        <v/>
      </c>
      <c r="I25" s="43" t="n"/>
    </row>
    <row r="26" ht="12.75" customHeight="1">
      <c r="A26" s="26" t="n"/>
      <c r="C26" s="44" t="n"/>
      <c r="D26" s="45" t="n"/>
      <c r="E26" s="45" t="n"/>
      <c r="F26" s="45" t="n"/>
      <c r="G26" s="45" t="n"/>
      <c r="H26" s="45" t="n"/>
      <c r="I26" s="26" t="n"/>
    </row>
    <row r="27" ht="12.75" customHeight="1">
      <c r="B27" s="2" t="inlineStr">
        <is>
          <t>Comments/Conclusion:</t>
        </is>
      </c>
    </row>
    <row r="28">
      <c r="B28" s="15" t="n"/>
      <c r="C28" s="16" t="inlineStr">
        <is>
          <t>Вывод: по модели DJI Mavic 3 Enterprise наибольшее отставание от конкурентов (Ki &lt; 0,7) наблюдается по автономности полета, площади съемки за вылет, дальности устойчивого канала и стоимости владения. Приоритет улучшения №1 — увеличение времени полета (F), №2 — повышение ветроустойчивости и дальности связи (H), №3 — снижение массы платформы при сохранении полезной нагрузки (G).</t>
        </is>
      </c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8" t="n"/>
    </row>
    <row r="29">
      <c r="B29" s="22" t="n"/>
      <c r="C29" s="23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5" t="n"/>
    </row>
    <row r="30">
      <c r="B30" s="19" t="n"/>
      <c r="C30" s="20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1" t="n"/>
    </row>
    <row r="31">
      <c r="B31" s="46" t="n"/>
      <c r="C31" s="46" t="n"/>
      <c r="D31" s="46" t="n"/>
      <c r="E31" s="46" t="n"/>
      <c r="F31" s="46" t="n"/>
      <c r="G31" s="46" t="n"/>
      <c r="H31" s="46" t="n"/>
    </row>
    <row r="32" ht="15" customHeight="1">
      <c r="B32" s="75" t="n"/>
    </row>
    <row r="34" ht="12.75" customHeight="1">
      <c r="B34" s="65" t="n"/>
    </row>
    <row r="35" ht="12.75" customHeight="1">
      <c r="B35" s="66" t="n"/>
    </row>
    <row r="36" ht="12.75" customHeight="1">
      <c r="B36" s="66" t="n"/>
    </row>
    <row r="37" ht="12.75" customHeight="1">
      <c r="B37" s="66" t="n"/>
    </row>
    <row r="38" ht="12.75" customHeight="1">
      <c r="B38" s="66" t="n"/>
    </row>
    <row r="39" ht="12.75" customHeight="1">
      <c r="B39" s="65" t="n"/>
    </row>
    <row r="40" ht="12.75" customHeight="1">
      <c r="B40" s="67" t="n"/>
    </row>
  </sheetData>
  <mergeCells count="8">
    <mergeCell ref="J10:M10"/>
    <mergeCell ref="E10:E11"/>
    <mergeCell ref="D10:D11"/>
    <mergeCell ref="B32:M32"/>
    <mergeCell ref="J21:M21"/>
    <mergeCell ref="F10:F11"/>
    <mergeCell ref="H10:H11"/>
    <mergeCell ref="G10:G11"/>
  </mergeCells>
  <printOptions horizontalCentered="1" verticalCentered="1"/>
  <pageMargins left="0.1" right="0.1" top="0.1" bottom="0.1" header="0.2" footer="0.2"/>
  <pageSetup orientation="landscape" scale="9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Сравнительный анализ реальных БПЛА для аэрофотосъемки (исходные данные для Дома качества)</t>
        </is>
      </c>
    </row>
    <row r="3">
      <c r="A3" t="inlineStr">
        <is>
          <t>Модель БПЛА</t>
        </is>
      </c>
      <c r="B3" t="inlineStr">
        <is>
          <t>Производитель / Страна</t>
        </is>
      </c>
      <c r="C3" t="inlineStr">
        <is>
          <t>Назначение</t>
        </is>
      </c>
      <c r="D3" t="inlineStr">
        <is>
          <t>Камера / сенсор</t>
        </is>
      </c>
      <c r="E3" t="inlineStr">
        <is>
          <t>RTK/PPK точность, см</t>
        </is>
      </c>
      <c r="F3" t="inlineStr">
        <is>
          <t>Время полета, мин</t>
        </is>
      </c>
      <c r="G3" t="inlineStr">
        <is>
          <t>Взлетная масса, кг</t>
        </is>
      </c>
      <c r="H3" t="inlineStr">
        <is>
          <t>Работа при ветре, м/с</t>
        </is>
      </c>
      <c r="I3" t="inlineStr">
        <is>
          <t>Дальность канала, км</t>
        </is>
      </c>
      <c r="J3" t="inlineStr">
        <is>
          <t>Интегральная оценка (1..5)</t>
        </is>
      </c>
    </row>
    <row r="4">
      <c r="A4" t="inlineStr">
        <is>
          <t>DJI Mavic 3 Enterprise</t>
        </is>
      </c>
      <c r="B4" t="inlineStr">
        <is>
          <t>DJI (Китай)</t>
        </is>
      </c>
      <c r="C4" t="inlineStr">
        <is>
          <t>Картография, инспекции, 3D-модели</t>
        </is>
      </c>
      <c r="D4" t="inlineStr">
        <is>
          <t>4/3 CMOS 20 МП, механический затвор</t>
        </is>
      </c>
      <c r="E4" t="n">
        <v>1</v>
      </c>
      <c r="F4" t="n">
        <v>45</v>
      </c>
      <c r="G4" t="n">
        <v>0.915</v>
      </c>
      <c r="H4" t="n">
        <v>12</v>
      </c>
      <c r="I4" t="n">
        <v>15</v>
      </c>
      <c r="J4" t="n">
        <v>4</v>
      </c>
    </row>
    <row r="5">
      <c r="A5" t="inlineStr">
        <is>
          <t>DJI Phantom 4 RTK</t>
        </is>
      </c>
      <c r="B5" t="inlineStr">
        <is>
          <t>DJI (Китай)</t>
        </is>
      </c>
      <c r="C5" t="inlineStr">
        <is>
          <t>Классическая фотограмметрия и геодезия</t>
        </is>
      </c>
      <c r="D5" t="inlineStr">
        <is>
          <t>1" CMOS 20 МП, механический затвор</t>
        </is>
      </c>
      <c r="E5" t="n">
        <v>1.5</v>
      </c>
      <c r="F5" t="n">
        <v>30</v>
      </c>
      <c r="G5" t="n">
        <v>1.391</v>
      </c>
      <c r="H5" t="n">
        <v>10</v>
      </c>
      <c r="I5" t="n">
        <v>7</v>
      </c>
      <c r="J5" t="n">
        <v>3</v>
      </c>
    </row>
    <row r="6">
      <c r="A6" t="inlineStr">
        <is>
          <t>Autel EVO II Pro RTK V3</t>
        </is>
      </c>
      <c r="B6" t="inlineStr">
        <is>
          <t>Autel Robotics (Китай/США)</t>
        </is>
      </c>
      <c r="C6" t="inlineStr">
        <is>
          <t>Картография, мониторинг, 6K-съемка</t>
        </is>
      </c>
      <c r="D6" t="inlineStr">
        <is>
          <t>1" CMOS 20 МП, 6K видео</t>
        </is>
      </c>
      <c r="E6" t="n">
        <v>1</v>
      </c>
      <c r="F6" t="n">
        <v>42</v>
      </c>
      <c r="G6" t="n">
        <v>1.19</v>
      </c>
      <c r="H6" t="n">
        <v>12</v>
      </c>
      <c r="I6" t="n">
        <v>15</v>
      </c>
      <c r="J6" t="n">
        <v>4.1</v>
      </c>
    </row>
    <row r="7">
      <c r="A7" t="inlineStr">
        <is>
          <t>senseFly eBee X</t>
        </is>
      </c>
      <c r="B7" t="inlineStr">
        <is>
          <t>AgEagle / senseFly (Швейцария/США)</t>
        </is>
      </c>
      <c r="C7" t="inlineStr">
        <is>
          <t>Большие площади, линейная инфраструктура</t>
        </is>
      </c>
      <c r="D7" t="inlineStr">
        <is>
          <t>S.O.D.A. 3D 20 МП (фиксированное крыло)</t>
        </is>
      </c>
      <c r="E7" t="n">
        <v>3</v>
      </c>
      <c r="F7" t="n">
        <v>90</v>
      </c>
      <c r="G7" t="n">
        <v>1.6</v>
      </c>
      <c r="H7" t="n">
        <v>12.8</v>
      </c>
      <c r="I7" t="n">
        <v>8</v>
      </c>
      <c r="J7" t="n">
        <v>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lolo</dc:creator>
  <dcterms:created xsi:type="dcterms:W3CDTF">1996-10-14T23:33:28Z</dcterms:created>
  <dcterms:modified xsi:type="dcterms:W3CDTF">2026-10-13T19:26:16Z</dcterms:modified>
  <cp:lastModifiedBy>User</cp:lastModifiedBy>
  <cp:lastPrinted>2023-09-19T08:39:20Z</cp:lastPrinted>
</cp:coreProperties>
</file>